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JoséOlavarría\Desktop\JJO Varios\Inversiones\"/>
    </mc:Choice>
  </mc:AlternateContent>
  <xr:revisionPtr revIDLastSave="0" documentId="13_ncr:1_{49F921C3-F628-4ADB-808D-5B91280C0E0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mpras" sheetId="1" r:id="rId1"/>
    <sheet name="Ventas" sheetId="2" r:id="rId2"/>
    <sheet name="Dividendos" sheetId="3" r:id="rId3"/>
  </sheets>
  <definedNames>
    <definedName name="_xlnm._FilterDatabase" localSheetId="0" hidden="1">Compras!$A$1:$J$113</definedName>
    <definedName name="_xlnm._FilterDatabase" localSheetId="2" hidden="1">Dividendos!$A$1:$G$1</definedName>
    <definedName name="_xlnm._FilterDatabase" localSheetId="1" hidden="1">Ventas!$A$1:$I$42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2" l="1"/>
  <c r="G32" i="1"/>
  <c r="G31" i="1"/>
  <c r="G30" i="1"/>
  <c r="G29" i="1"/>
  <c r="G28" i="1"/>
  <c r="G27" i="1"/>
  <c r="G26" i="1"/>
  <c r="G25" i="1"/>
  <c r="G24" i="1"/>
  <c r="G12" i="1"/>
  <c r="F42" i="2"/>
  <c r="F41" i="2"/>
  <c r="F40" i="2"/>
  <c r="F113" i="1"/>
  <c r="F112" i="1"/>
  <c r="F111" i="1"/>
  <c r="F110" i="1"/>
  <c r="G33" i="2"/>
  <c r="G32" i="2"/>
  <c r="G31" i="2"/>
  <c r="G30" i="2"/>
  <c r="G29" i="2"/>
  <c r="G28" i="2"/>
  <c r="G27" i="2"/>
  <c r="G26" i="2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</calcChain>
</file>

<file path=xl/sharedStrings.xml><?xml version="1.0" encoding="utf-8"?>
<sst xmlns="http://schemas.openxmlformats.org/spreadsheetml/2006/main" count="1870" uniqueCount="285">
  <si>
    <t>Ticker</t>
  </si>
  <si>
    <t>Nombre</t>
  </si>
  <si>
    <t>Plataforma</t>
  </si>
  <si>
    <t>Fecha</t>
  </si>
  <si>
    <t>Acciones</t>
  </si>
  <si>
    <t>Precio USD</t>
  </si>
  <si>
    <t>Moneda</t>
  </si>
  <si>
    <t>Notas</t>
  </si>
  <si>
    <t>Fuente</t>
  </si>
  <si>
    <t>VOO</t>
  </si>
  <si>
    <t>S&amp;P 500 Vanguard ETF</t>
  </si>
  <si>
    <t>Racional/DriveWealth</t>
  </si>
  <si>
    <t>2023-12-21</t>
  </si>
  <si>
    <t>USD</t>
  </si>
  <si>
    <t>Gmail/Racional</t>
  </si>
  <si>
    <t>2024-05-08</t>
  </si>
  <si>
    <t>2024-05-20</t>
  </si>
  <si>
    <t>2024-05-30</t>
  </si>
  <si>
    <t>2024-07-10</t>
  </si>
  <si>
    <t>2024-08-28</t>
  </si>
  <si>
    <t>2025-01-23</t>
  </si>
  <si>
    <t>2025-01-27</t>
  </si>
  <si>
    <t>2025-03-19</t>
  </si>
  <si>
    <t>2025-04-02</t>
  </si>
  <si>
    <t>Dividendo reinvertido</t>
  </si>
  <si>
    <t>2025-04-08</t>
  </si>
  <si>
    <t>2025-07-02</t>
  </si>
  <si>
    <t>2025-07-22</t>
  </si>
  <si>
    <t>2025-08-01</t>
  </si>
  <si>
    <t>2025-08-28</t>
  </si>
  <si>
    <t>2026-01-21</t>
  </si>
  <si>
    <t>2026-02-05</t>
  </si>
  <si>
    <t>GPRK</t>
  </si>
  <si>
    <t>GeoPark Limited</t>
  </si>
  <si>
    <t>2025-11-04</t>
  </si>
  <si>
    <t>2025-11-05</t>
  </si>
  <si>
    <t>CERT</t>
  </si>
  <si>
    <t>Certara</t>
  </si>
  <si>
    <t>2026-03-10</t>
  </si>
  <si>
    <t>PYPL</t>
  </si>
  <si>
    <t>PayPal Holdings</t>
  </si>
  <si>
    <t>2026-02-23</t>
  </si>
  <si>
    <t>MH</t>
  </si>
  <si>
    <t>McGraw Hill</t>
  </si>
  <si>
    <t>2026-01-08</t>
  </si>
  <si>
    <t>OPEN</t>
  </si>
  <si>
    <t>Opendoor Technologies</t>
  </si>
  <si>
    <t>2025-09-03</t>
  </si>
  <si>
    <t>2025-09-05</t>
  </si>
  <si>
    <t>2025-09-11</t>
  </si>
  <si>
    <t>2025-09-12</t>
  </si>
  <si>
    <t>Orden límite</t>
  </si>
  <si>
    <t>2026-01-07</t>
  </si>
  <si>
    <t>KKR</t>
  </si>
  <si>
    <t>KKR &amp; Co.</t>
  </si>
  <si>
    <t>2024-06-05</t>
  </si>
  <si>
    <t>Detalle pendiente verificación</t>
  </si>
  <si>
    <t>2024-10-01</t>
  </si>
  <si>
    <t>2025-10-01</t>
  </si>
  <si>
    <t>PLTR</t>
  </si>
  <si>
    <t>Palantir Technologies</t>
  </si>
  <si>
    <t>2025-09-10</t>
  </si>
  <si>
    <t>GLOB</t>
  </si>
  <si>
    <t>Globant</t>
  </si>
  <si>
    <t>2025-05-16</t>
  </si>
  <si>
    <t>2025-07-11</t>
  </si>
  <si>
    <t>2025-08-13</t>
  </si>
  <si>
    <t>2025-08-14</t>
  </si>
  <si>
    <t>2025-09-02</t>
  </si>
  <si>
    <t>2025-11-12</t>
  </si>
  <si>
    <t>FLG</t>
  </si>
  <si>
    <t>NY Community Bancorp</t>
  </si>
  <si>
    <t>2025-10-24</t>
  </si>
  <si>
    <t>FISV</t>
  </si>
  <si>
    <t>Fiserv</t>
  </si>
  <si>
    <t>2025-10-29</t>
  </si>
  <si>
    <t>DLO</t>
  </si>
  <si>
    <t>dLocal</t>
  </si>
  <si>
    <t>SPOT</t>
  </si>
  <si>
    <t>Spotify</t>
  </si>
  <si>
    <t>2025-10-13</t>
  </si>
  <si>
    <t>SOUN</t>
  </si>
  <si>
    <t>SoundHound AI</t>
  </si>
  <si>
    <t>OSCR</t>
  </si>
  <si>
    <t>Oscar Health</t>
  </si>
  <si>
    <t>APP</t>
  </si>
  <si>
    <t>AppLovin Corp</t>
  </si>
  <si>
    <t>2026-01-06</t>
  </si>
  <si>
    <t>CRWV</t>
  </si>
  <si>
    <t>CoreWeave</t>
  </si>
  <si>
    <t>Aprox.</t>
  </si>
  <si>
    <t>CFIETFGE</t>
  </si>
  <si>
    <t>ETF Acciones Globales</t>
  </si>
  <si>
    <t>Racional</t>
  </si>
  <si>
    <t>2022-05-23</t>
  </si>
  <si>
    <t>CLP</t>
  </si>
  <si>
    <t>Compra 1 de 3</t>
  </si>
  <si>
    <t>2022-07-01</t>
  </si>
  <si>
    <t>Compra 2 de 3</t>
  </si>
  <si>
    <t>2022-09-01</t>
  </si>
  <si>
    <t>Compra 3 de 3</t>
  </si>
  <si>
    <t>CFMITNIPSA</t>
  </si>
  <si>
    <t>ETF Acc. Chilenas IPSA</t>
  </si>
  <si>
    <t>2022-02-03</t>
  </si>
  <si>
    <t>2022-06-01</t>
  </si>
  <si>
    <t>2023-06-01</t>
  </si>
  <si>
    <t>Acciones Vendidas</t>
  </si>
  <si>
    <t>Monto Recibido USD</t>
  </si>
  <si>
    <t>Tipo Orden</t>
  </si>
  <si>
    <t>Mercado</t>
  </si>
  <si>
    <t>Venta parcial</t>
  </si>
  <si>
    <t>Stop</t>
  </si>
  <si>
    <t>Stop loss</t>
  </si>
  <si>
    <t>2024-08-26</t>
  </si>
  <si>
    <t>BX</t>
  </si>
  <si>
    <t>Blackstone</t>
  </si>
  <si>
    <t>GME</t>
  </si>
  <si>
    <t>GameStop</t>
  </si>
  <si>
    <t>2024-10-23</t>
  </si>
  <si>
    <t>WOOF</t>
  </si>
  <si>
    <t>Petco</t>
  </si>
  <si>
    <t>2024-05-01</t>
  </si>
  <si>
    <t>2025-08-29</t>
  </si>
  <si>
    <t>ENPH</t>
  </si>
  <si>
    <t>Enphase Energy</t>
  </si>
  <si>
    <t>FIG</t>
  </si>
  <si>
    <t>Figma</t>
  </si>
  <si>
    <t>UUUU</t>
  </si>
  <si>
    <t>Energy Fuels</t>
  </si>
  <si>
    <t>VKTX</t>
  </si>
  <si>
    <t>Viking Therapeutics</t>
  </si>
  <si>
    <t>MODG</t>
  </si>
  <si>
    <t>Callaway Golf</t>
  </si>
  <si>
    <t>W</t>
  </si>
  <si>
    <t>Wayfair</t>
  </si>
  <si>
    <t>2025-10-28</t>
  </si>
  <si>
    <t>MELI</t>
  </si>
  <si>
    <t>MercadoLibre</t>
  </si>
  <si>
    <t>2025-01-02</t>
  </si>
  <si>
    <t>Venta total. Precio en CLP</t>
  </si>
  <si>
    <t>Venta parcial. Precio en CLP</t>
  </si>
  <si>
    <t>2024-02-14</t>
  </si>
  <si>
    <t>Venta final. Precio en CLP</t>
  </si>
  <si>
    <t>2024-01-01</t>
  </si>
  <si>
    <t>Aprox. Q4 2023</t>
  </si>
  <si>
    <t>2024-04-01</t>
  </si>
  <si>
    <t>Aprox. Q1 2024</t>
  </si>
  <si>
    <t>2024-07-01</t>
  </si>
  <si>
    <t>Aprox. Q2 2024</t>
  </si>
  <si>
    <t>Aprox. Q3 2024</t>
  </si>
  <si>
    <t>2025-01-01</t>
  </si>
  <si>
    <t>Aprox. Q4 2024</t>
  </si>
  <si>
    <t>Incl. reinversión</t>
  </si>
  <si>
    <t>2025-07-01</t>
  </si>
  <si>
    <t>Aprox. Q2 2025</t>
  </si>
  <si>
    <t>Aprox. Q3 2025</t>
  </si>
  <si>
    <t>2026-01-01</t>
  </si>
  <si>
    <t>Aprox. Q4 2025</t>
  </si>
  <si>
    <t>2025-03-03</t>
  </si>
  <si>
    <t>2025-05-28</t>
  </si>
  <si>
    <t>2025-08-27</t>
  </si>
  <si>
    <t>2025-12-02</t>
  </si>
  <si>
    <t>2026-03-03</t>
  </si>
  <si>
    <t>2025-02-19</t>
  </si>
  <si>
    <t>Posición cerrada sep/25</t>
  </si>
  <si>
    <t>2025-05-06</t>
  </si>
  <si>
    <t>2025-08-12</t>
  </si>
  <si>
    <t>2025-12-01</t>
  </si>
  <si>
    <t>2025-12-17</t>
  </si>
  <si>
    <t>2026-03-17</t>
  </si>
  <si>
    <t>En CLP</t>
  </si>
  <si>
    <t>2024-06-01</t>
  </si>
  <si>
    <t>2022-04-28</t>
  </si>
  <si>
    <t>2022-04-29</t>
  </si>
  <si>
    <t>2022-05-12</t>
  </si>
  <si>
    <t>2022-06-15</t>
  </si>
  <si>
    <t>2022-07-20</t>
  </si>
  <si>
    <t>2023-11-09</t>
  </si>
  <si>
    <t>2023-11-16</t>
  </si>
  <si>
    <t>2023-12-14</t>
  </si>
  <si>
    <t>2024-01-10</t>
  </si>
  <si>
    <t>2024-01-26</t>
  </si>
  <si>
    <t>2025-09-04</t>
  </si>
  <si>
    <t>2024-10-24</t>
  </si>
  <si>
    <t>CIB</t>
  </si>
  <si>
    <t>Bancolombia</t>
  </si>
  <si>
    <t>QUINENCO</t>
  </si>
  <si>
    <t>Quiñenco</t>
  </si>
  <si>
    <t>Renta4</t>
  </si>
  <si>
    <t>2022-08-03</t>
  </si>
  <si>
    <t>Incl. comisión $1.774</t>
  </si>
  <si>
    <t>Cartola Renta4</t>
  </si>
  <si>
    <t>CFIETFCC</t>
  </si>
  <si>
    <t>ETF Acciones Chilenas (BCI)</t>
  </si>
  <si>
    <t>2024-01-18</t>
  </si>
  <si>
    <t>Incl. comisión</t>
  </si>
  <si>
    <t>HABITAT</t>
  </si>
  <si>
    <t>AFP Habitat</t>
  </si>
  <si>
    <t>CHILE</t>
  </si>
  <si>
    <t>Banco de Chile</t>
  </si>
  <si>
    <t>2024-02-13</t>
  </si>
  <si>
    <t>2024-03-08</t>
  </si>
  <si>
    <t>CFIBTGRE</t>
  </si>
  <si>
    <t>BTG Pactual Retorno Estratégico</t>
  </si>
  <si>
    <t>2024-04-18</t>
  </si>
  <si>
    <t>Incl. comisión y facturación</t>
  </si>
  <si>
    <t>BSANTANDER</t>
  </si>
  <si>
    <t>Banco Santander Chile</t>
  </si>
  <si>
    <t>2024-12-26</t>
  </si>
  <si>
    <t>2025-02-04</t>
  </si>
  <si>
    <t>2025-05-19</t>
  </si>
  <si>
    <t>LTM</t>
  </si>
  <si>
    <t>LATAM Airlines</t>
  </si>
  <si>
    <t>2025-10-17</t>
  </si>
  <si>
    <t>FALABELLA</t>
  </si>
  <si>
    <t>Falabella</t>
  </si>
  <si>
    <t>Incl. comisión $5.340</t>
  </si>
  <si>
    <t>COPEC</t>
  </si>
  <si>
    <t>Empresas Copec</t>
  </si>
  <si>
    <t>2022-12-07</t>
  </si>
  <si>
    <t>Venta total. Incl. comisión $2.052</t>
  </si>
  <si>
    <t>Venta final</t>
  </si>
  <si>
    <t>Venta total. Incl. comisión $2.826</t>
  </si>
  <si>
    <t>Venta total. Incl. comisión $2.655</t>
  </si>
  <si>
    <t>2024-03-28</t>
  </si>
  <si>
    <t>2024-04-09</t>
  </si>
  <si>
    <t>2024-04-25</t>
  </si>
  <si>
    <t>2024-04-30</t>
  </si>
  <si>
    <t>2024-05-07</t>
  </si>
  <si>
    <t>2024-05-09</t>
  </si>
  <si>
    <t>2024-05-10</t>
  </si>
  <si>
    <t>2024-05-14</t>
  </si>
  <si>
    <t>2024-05-16</t>
  </si>
  <si>
    <t>2024-05-17</t>
  </si>
  <si>
    <t>Posición cerrada may/24</t>
  </si>
  <si>
    <t>2024-05-24</t>
  </si>
  <si>
    <t>2024-05-29</t>
  </si>
  <si>
    <t>2024-06-25</t>
  </si>
  <si>
    <t>2024-08-14</t>
  </si>
  <si>
    <t>2024-09-05</t>
  </si>
  <si>
    <t>2024-09-26</t>
  </si>
  <si>
    <t>2024-09-30</t>
  </si>
  <si>
    <t>2024-11-20</t>
  </si>
  <si>
    <t>2024-11-28</t>
  </si>
  <si>
    <t>2024-12-04</t>
  </si>
  <si>
    <t>2024-12-13</t>
  </si>
  <si>
    <t>2024-12-17</t>
  </si>
  <si>
    <t>2024-12-20</t>
  </si>
  <si>
    <t>2024-12-27</t>
  </si>
  <si>
    <t>2024-12-30</t>
  </si>
  <si>
    <t>2025-01-08</t>
  </si>
  <si>
    <t>2025-01-10</t>
  </si>
  <si>
    <t>2025-01-15</t>
  </si>
  <si>
    <t>2025-01-24</t>
  </si>
  <si>
    <t>2025-01-31</t>
  </si>
  <si>
    <t>2025-03-27</t>
  </si>
  <si>
    <t>2025-03-31</t>
  </si>
  <si>
    <t>2025-04-09</t>
  </si>
  <si>
    <t>2025-04-22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</si>
  <si>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</si>
  <si>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</si>
  <si>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</si>
  <si>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</si>
  <si>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</si>
  <si>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</si>
  <si>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</si>
  <si>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2025-05-17</t>
  </si>
  <si>
    <t>2025-05-26</t>
  </si>
  <si>
    <t>2025-05-29</t>
  </si>
  <si>
    <t>2025-06-04</t>
  </si>
  <si>
    <t>2025-06-25</t>
  </si>
  <si>
    <t>2025-06-26</t>
  </si>
  <si>
    <t>2025-09-16</t>
  </si>
  <si>
    <t>2025-10-14</t>
  </si>
  <si>
    <t>2025-10-23</t>
  </si>
  <si>
    <t>2025-11-20</t>
  </si>
  <si>
    <t>2025-11-27</t>
  </si>
  <si>
    <t>2025-12-05</t>
  </si>
  <si>
    <t>2025-12-12</t>
  </si>
  <si>
    <t>2025-12-18</t>
  </si>
  <si>
    <t>2025-12-23</t>
  </si>
  <si>
    <t>2025-12-29</t>
  </si>
  <si>
    <t>2026-01-23</t>
  </si>
  <si>
    <t>Monto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</si>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</sst>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####;\(#,##0.####\);\-"/>
    <numFmt numFmtId="166" formatCode="#,##0;\(#,##0\);\-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" fontId="0" fillId="0" borderId="0" xfId="0" applyNumberFormat="1"/>
    <xf numFmtId="4" fontId="5" fillId="4" borderId="2" xfId="0" applyNumberFormat="1" applyFont="1" applyFill="1" applyBorder="1" applyAlignment="1">
      <alignment horizontal="right" vertical="center"/>
    </xf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3" fontId="0" fillId="0" borderId="0" xfId="0" applyNumberFormat="1"/>
    <xf numFmtId="14" fontId="1" fillId="0" borderId="0" xfId="0" applyNumberFormat="1" applyFont="1" applyAlignment="1">
      <alignment horizontal="center"/>
    </xf>
    <xf numFmtId="16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zoomScaleNormal="100" workbookViewId="0">
      <pane ySplit="2" topLeftCell="A61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3" width="20" customWidth="1"/>
    <col min="4" max="6" width="12" customWidth="1"/>
    <col min="7" max="7" width="14" customWidth="1"/>
    <col min="8" max="8" width="8" customWidth="1"/>
    <col min="9" max="9" width="30" customWidth="1"/>
    <col min="10" max="10" width="18" customWidth="1"/>
  </cols>
  <sheetData>
    <row r="1" spans="1:10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284</v>
      </c>
      <c r="G1" s="1" t="s">
        <v>283</v>
      </c>
      <c r="H1" s="1" t="s">
        <v>6</v>
      </c>
      <c r="I1" s="1" t="s">
        <v>7</v>
      </c>
      <c r="J1" s="2" t="s">
        <v>8</v>
      </c>
    </row>
    <row r="2" spans="1:10" x14ac:dyDescent="0.3">
      <c r="A2" s="9" t="s">
        <v>101</v>
      </c>
      <c r="B2" s="10" t="s">
        <v>102</v>
      </c>
      <c r="C2" s="10" t="s">
        <v>93</v>
      </c>
      <c r="D2" s="11" t="s">
        <v>103</v>
      </c>
      <c r="E2" s="12"/>
      <c r="F2" s="13"/>
      <c r="G2" s="16">
        <v>600000</v>
      </c>
      <c r="H2" s="14" t="s">
        <v>95</v>
      </c>
      <c r="I2" s="10" t="s">
        <v>96</v>
      </c>
      <c r="J2" s="10" t="s">
        <v>14</v>
      </c>
    </row>
    <row r="3" spans="1:10" x14ac:dyDescent="0.3">
      <c r="A3" s="3" t="s">
        <v>91</v>
      </c>
      <c r="B3" s="4" t="s">
        <v>92</v>
      </c>
      <c r="C3" s="4" t="s">
        <v>93</v>
      </c>
      <c r="D3" s="5" t="s">
        <v>94</v>
      </c>
      <c r="E3" s="6"/>
      <c r="F3" s="7"/>
      <c r="G3" s="15">
        <v>1000000</v>
      </c>
      <c r="H3" s="8" t="s">
        <v>95</v>
      </c>
      <c r="I3" s="4" t="s">
        <v>96</v>
      </c>
      <c r="J3" s="4" t="s">
        <v>14</v>
      </c>
    </row>
    <row r="4" spans="1:10" x14ac:dyDescent="0.3">
      <c r="A4" s="3" t="s">
        <v>101</v>
      </c>
      <c r="B4" s="4" t="s">
        <v>102</v>
      </c>
      <c r="C4" s="4" t="s">
        <v>93</v>
      </c>
      <c r="D4" s="5" t="s">
        <v>104</v>
      </c>
      <c r="E4" s="6"/>
      <c r="F4" s="7"/>
      <c r="G4" s="15">
        <v>600000</v>
      </c>
      <c r="H4" s="8" t="s">
        <v>95</v>
      </c>
      <c r="I4" s="4" t="s">
        <v>98</v>
      </c>
      <c r="J4" s="4" t="s">
        <v>14</v>
      </c>
    </row>
    <row r="5" spans="1:10" x14ac:dyDescent="0.3">
      <c r="A5" s="9" t="s">
        <v>91</v>
      </c>
      <c r="B5" s="10" t="s">
        <v>92</v>
      </c>
      <c r="C5" s="10" t="s">
        <v>93</v>
      </c>
      <c r="D5" s="11" t="s">
        <v>97</v>
      </c>
      <c r="E5" s="12"/>
      <c r="F5" s="13"/>
      <c r="G5" s="16">
        <v>1000000</v>
      </c>
      <c r="H5" s="14" t="s">
        <v>95</v>
      </c>
      <c r="I5" s="10" t="s">
        <v>98</v>
      </c>
      <c r="J5" s="10" t="s">
        <v>14</v>
      </c>
    </row>
    <row r="6" spans="1:10" x14ac:dyDescent="0.3">
      <c r="A6" s="3" t="s">
        <v>91</v>
      </c>
      <c r="B6" s="4" t="s">
        <v>92</v>
      </c>
      <c r="C6" s="4" t="s">
        <v>93</v>
      </c>
      <c r="D6" s="5" t="s">
        <v>99</v>
      </c>
      <c r="E6" s="6"/>
      <c r="F6" s="7"/>
      <c r="G6" s="15">
        <v>1000000</v>
      </c>
      <c r="H6" s="8" t="s">
        <v>95</v>
      </c>
      <c r="I6" s="4" t="s">
        <v>100</v>
      </c>
      <c r="J6" s="4" t="s">
        <v>14</v>
      </c>
    </row>
    <row r="7" spans="1:10" x14ac:dyDescent="0.3">
      <c r="A7" s="9" t="s">
        <v>101</v>
      </c>
      <c r="B7" s="10" t="s">
        <v>102</v>
      </c>
      <c r="C7" s="10" t="s">
        <v>93</v>
      </c>
      <c r="D7" s="11" t="s">
        <v>105</v>
      </c>
      <c r="E7" s="12"/>
      <c r="F7" s="13"/>
      <c r="G7" s="16">
        <v>550000</v>
      </c>
      <c r="H7" s="14" t="s">
        <v>95</v>
      </c>
      <c r="I7" s="10" t="s">
        <v>100</v>
      </c>
      <c r="J7" s="10" t="s">
        <v>14</v>
      </c>
    </row>
    <row r="8" spans="1:10" x14ac:dyDescent="0.3">
      <c r="A8" s="3" t="s">
        <v>9</v>
      </c>
      <c r="B8" s="4" t="s">
        <v>10</v>
      </c>
      <c r="C8" s="4" t="s">
        <v>11</v>
      </c>
      <c r="D8" s="5" t="s">
        <v>12</v>
      </c>
      <c r="E8" s="6">
        <v>1.4872000000000001</v>
      </c>
      <c r="F8" s="7">
        <v>433.15</v>
      </c>
      <c r="G8" s="7">
        <v>644.16999999999996</v>
      </c>
      <c r="H8" s="8" t="s">
        <v>13</v>
      </c>
      <c r="I8" s="4"/>
      <c r="J8" s="4" t="s">
        <v>14</v>
      </c>
    </row>
    <row r="9" spans="1:10" x14ac:dyDescent="0.3">
      <c r="A9" s="9" t="s">
        <v>9</v>
      </c>
      <c r="B9" s="10" t="s">
        <v>10</v>
      </c>
      <c r="C9" s="10" t="s">
        <v>11</v>
      </c>
      <c r="D9" s="11" t="s">
        <v>15</v>
      </c>
      <c r="E9" s="12">
        <v>0.45200000000000001</v>
      </c>
      <c r="F9" s="13">
        <v>474.8</v>
      </c>
      <c r="G9" s="13">
        <v>214.6</v>
      </c>
      <c r="H9" s="14" t="s">
        <v>13</v>
      </c>
      <c r="I9" s="10"/>
      <c r="J9" s="10" t="s">
        <v>14</v>
      </c>
    </row>
    <row r="10" spans="1:10" x14ac:dyDescent="0.3">
      <c r="A10" s="3" t="s">
        <v>9</v>
      </c>
      <c r="B10" s="4" t="s">
        <v>10</v>
      </c>
      <c r="C10" s="4" t="s">
        <v>11</v>
      </c>
      <c r="D10" s="5" t="s">
        <v>16</v>
      </c>
      <c r="E10" s="6">
        <v>0.68620000000000003</v>
      </c>
      <c r="F10" s="7">
        <v>488.45</v>
      </c>
      <c r="G10" s="7">
        <v>335.17</v>
      </c>
      <c r="H10" s="8" t="s">
        <v>13</v>
      </c>
      <c r="I10" s="4"/>
      <c r="J10" s="4" t="s">
        <v>14</v>
      </c>
    </row>
    <row r="11" spans="1:10" x14ac:dyDescent="0.3">
      <c r="A11" s="9" t="s">
        <v>9</v>
      </c>
      <c r="B11" s="10" t="s">
        <v>10</v>
      </c>
      <c r="C11" s="10" t="s">
        <v>11</v>
      </c>
      <c r="D11" s="11" t="s">
        <v>17</v>
      </c>
      <c r="E11" s="12">
        <v>0.31140000000000001</v>
      </c>
      <c r="F11" s="13">
        <v>481.77</v>
      </c>
      <c r="G11" s="13">
        <v>150</v>
      </c>
      <c r="H11" s="14" t="s">
        <v>13</v>
      </c>
      <c r="I11" s="10"/>
      <c r="J11" s="10" t="s">
        <v>14</v>
      </c>
    </row>
    <row r="12" spans="1:10" x14ac:dyDescent="0.3">
      <c r="A12" s="3" t="s">
        <v>53</v>
      </c>
      <c r="B12" s="4" t="s">
        <v>54</v>
      </c>
      <c r="C12" s="4" t="s">
        <v>11</v>
      </c>
      <c r="D12" s="5" t="s">
        <v>55</v>
      </c>
      <c r="E12" s="6">
        <v>3.6033317</v>
      </c>
      <c r="F12" s="7">
        <v>102.05</v>
      </c>
      <c r="G12" s="7">
        <f>+F12*E12</f>
        <v>367.71999998500002</v>
      </c>
      <c r="H12" s="8" t="s">
        <v>13</v>
      </c>
      <c r="I12" s="4" t="s">
        <v>56</v>
      </c>
      <c r="J12" s="4" t="s">
        <v>14</v>
      </c>
    </row>
    <row r="13" spans="1:10" x14ac:dyDescent="0.3">
      <c r="A13" s="3" t="s">
        <v>9</v>
      </c>
      <c r="B13" s="4" t="s">
        <v>10</v>
      </c>
      <c r="C13" s="4" t="s">
        <v>11</v>
      </c>
      <c r="D13" s="5" t="s">
        <v>18</v>
      </c>
      <c r="E13" s="6">
        <v>1.1694</v>
      </c>
      <c r="F13" s="7">
        <v>512.86</v>
      </c>
      <c r="G13" s="7">
        <v>599.73</v>
      </c>
      <c r="H13" s="8" t="s">
        <v>13</v>
      </c>
      <c r="I13" s="4"/>
      <c r="J13" s="4" t="s">
        <v>14</v>
      </c>
    </row>
    <row r="14" spans="1:10" x14ac:dyDescent="0.3">
      <c r="A14" s="9" t="s">
        <v>9</v>
      </c>
      <c r="B14" s="10" t="s">
        <v>10</v>
      </c>
      <c r="C14" s="10" t="s">
        <v>11</v>
      </c>
      <c r="D14" s="11" t="s">
        <v>19</v>
      </c>
      <c r="E14" s="12">
        <v>0.85770000000000002</v>
      </c>
      <c r="F14" s="13">
        <v>512.99</v>
      </c>
      <c r="G14" s="13">
        <v>440</v>
      </c>
      <c r="H14" s="14" t="s">
        <v>13</v>
      </c>
      <c r="I14" s="10"/>
      <c r="J14" s="10" t="s">
        <v>14</v>
      </c>
    </row>
    <row r="15" spans="1:10" x14ac:dyDescent="0.3">
      <c r="A15" s="3" t="s">
        <v>9</v>
      </c>
      <c r="B15" s="4" t="s">
        <v>10</v>
      </c>
      <c r="C15" s="4" t="s">
        <v>11</v>
      </c>
      <c r="D15" s="5" t="s">
        <v>20</v>
      </c>
      <c r="E15" s="6">
        <v>0.89559999999999995</v>
      </c>
      <c r="F15" s="7">
        <v>558.29</v>
      </c>
      <c r="G15" s="7">
        <v>500</v>
      </c>
      <c r="H15" s="8" t="s">
        <v>13</v>
      </c>
      <c r="I15" s="4"/>
      <c r="J15" s="4" t="s">
        <v>14</v>
      </c>
    </row>
    <row r="16" spans="1:10" x14ac:dyDescent="0.3">
      <c r="A16" s="3" t="s">
        <v>53</v>
      </c>
      <c r="B16" s="4" t="s">
        <v>54</v>
      </c>
      <c r="C16" s="4" t="s">
        <v>11</v>
      </c>
      <c r="D16" s="5" t="s">
        <v>20</v>
      </c>
      <c r="E16" s="6">
        <v>5.4455999999999998</v>
      </c>
      <c r="F16" s="7">
        <v>183.63</v>
      </c>
      <c r="G16" s="7">
        <v>1000</v>
      </c>
      <c r="H16" s="8" t="s">
        <v>13</v>
      </c>
      <c r="I16" s="4"/>
      <c r="J16" s="4" t="s">
        <v>14</v>
      </c>
    </row>
    <row r="17" spans="1:10" x14ac:dyDescent="0.3">
      <c r="A17" s="9" t="s">
        <v>9</v>
      </c>
      <c r="B17" s="10" t="s">
        <v>10</v>
      </c>
      <c r="C17" s="10" t="s">
        <v>11</v>
      </c>
      <c r="D17" s="11" t="s">
        <v>21</v>
      </c>
      <c r="E17" s="12">
        <v>0.45390000000000003</v>
      </c>
      <c r="F17" s="13">
        <v>550.77</v>
      </c>
      <c r="G17" s="13">
        <v>250</v>
      </c>
      <c r="H17" s="14" t="s">
        <v>13</v>
      </c>
      <c r="I17" s="10"/>
      <c r="J17" s="10" t="s">
        <v>14</v>
      </c>
    </row>
    <row r="18" spans="1:10" x14ac:dyDescent="0.3">
      <c r="A18" s="9" t="s">
        <v>53</v>
      </c>
      <c r="B18" s="10" t="s">
        <v>54</v>
      </c>
      <c r="C18" s="10" t="s">
        <v>11</v>
      </c>
      <c r="D18" s="11" t="s">
        <v>21</v>
      </c>
      <c r="E18" s="12">
        <v>1.4194</v>
      </c>
      <c r="F18" s="13">
        <v>182.01</v>
      </c>
      <c r="G18" s="13">
        <v>258.36</v>
      </c>
      <c r="H18" s="14" t="s">
        <v>13</v>
      </c>
      <c r="I18" s="10"/>
      <c r="J18" s="10" t="s">
        <v>14</v>
      </c>
    </row>
    <row r="19" spans="1:10" x14ac:dyDescent="0.3">
      <c r="A19" s="3" t="s">
        <v>9</v>
      </c>
      <c r="B19" s="4" t="s">
        <v>10</v>
      </c>
      <c r="C19" s="4" t="s">
        <v>11</v>
      </c>
      <c r="D19" s="5" t="s">
        <v>22</v>
      </c>
      <c r="E19" s="6">
        <v>0.96220000000000006</v>
      </c>
      <c r="F19" s="7">
        <v>519.64</v>
      </c>
      <c r="G19" s="7">
        <v>500</v>
      </c>
      <c r="H19" s="8" t="s">
        <v>13</v>
      </c>
      <c r="I19" s="4"/>
      <c r="J19" s="4" t="s">
        <v>14</v>
      </c>
    </row>
    <row r="20" spans="1:10" x14ac:dyDescent="0.3">
      <c r="A20" s="9" t="s">
        <v>9</v>
      </c>
      <c r="B20" s="10" t="s">
        <v>10</v>
      </c>
      <c r="C20" s="10" t="s">
        <v>11</v>
      </c>
      <c r="D20" s="11" t="s">
        <v>23</v>
      </c>
      <c r="E20" s="12">
        <v>2.18E-2</v>
      </c>
      <c r="F20" s="13">
        <v>513.64</v>
      </c>
      <c r="G20" s="13">
        <v>11.2</v>
      </c>
      <c r="H20" s="14" t="s">
        <v>13</v>
      </c>
      <c r="I20" s="10" t="s">
        <v>24</v>
      </c>
      <c r="J20" s="10" t="s">
        <v>14</v>
      </c>
    </row>
    <row r="21" spans="1:10" x14ac:dyDescent="0.3">
      <c r="A21" s="3" t="s">
        <v>9</v>
      </c>
      <c r="B21" s="4" t="s">
        <v>10</v>
      </c>
      <c r="C21" s="4" t="s">
        <v>11</v>
      </c>
      <c r="D21" s="5" t="s">
        <v>25</v>
      </c>
      <c r="E21" s="6">
        <v>0.6452</v>
      </c>
      <c r="F21" s="7">
        <v>461.76</v>
      </c>
      <c r="G21" s="7">
        <v>297.91000000000003</v>
      </c>
      <c r="H21" s="8" t="s">
        <v>13</v>
      </c>
      <c r="I21" s="4"/>
      <c r="J21" s="4" t="s">
        <v>14</v>
      </c>
    </row>
    <row r="22" spans="1:10" x14ac:dyDescent="0.3">
      <c r="A22" s="9" t="s">
        <v>62</v>
      </c>
      <c r="B22" s="10" t="s">
        <v>63</v>
      </c>
      <c r="C22" s="10" t="s">
        <v>11</v>
      </c>
      <c r="D22" s="11" t="s">
        <v>64</v>
      </c>
      <c r="E22" s="12">
        <v>5.6669999999999998</v>
      </c>
      <c r="F22" s="13">
        <v>93.65</v>
      </c>
      <c r="G22" s="13">
        <v>530.69000000000005</v>
      </c>
      <c r="H22" s="14" t="s">
        <v>13</v>
      </c>
      <c r="I22" s="10"/>
      <c r="J22" s="10" t="s">
        <v>14</v>
      </c>
    </row>
    <row r="23" spans="1:10" x14ac:dyDescent="0.3">
      <c r="A23" s="9" t="s">
        <v>9</v>
      </c>
      <c r="B23" s="10" t="s">
        <v>10</v>
      </c>
      <c r="C23" s="10" t="s">
        <v>11</v>
      </c>
      <c r="D23" s="11" t="s">
        <v>26</v>
      </c>
      <c r="E23" s="12">
        <v>0.44009999999999999</v>
      </c>
      <c r="F23" s="13">
        <v>568.09</v>
      </c>
      <c r="G23" s="13">
        <v>250</v>
      </c>
      <c r="H23" s="14" t="s">
        <v>13</v>
      </c>
      <c r="I23" s="10"/>
      <c r="J23" s="10" t="s">
        <v>14</v>
      </c>
    </row>
    <row r="24" spans="1:10" x14ac:dyDescent="0.3">
      <c r="A24" s="9" t="s">
        <v>53</v>
      </c>
      <c r="B24" s="10" t="s">
        <v>54</v>
      </c>
      <c r="C24" s="10" t="s">
        <v>11</v>
      </c>
      <c r="D24" s="11">
        <v>45728</v>
      </c>
      <c r="E24" s="12">
        <v>8.1391119999999997E-2</v>
      </c>
      <c r="F24" s="13">
        <v>114.51</v>
      </c>
      <c r="G24" s="13">
        <f>+F24*E24</f>
        <v>9.3200971512000006</v>
      </c>
      <c r="H24" s="14" t="s">
        <v>13</v>
      </c>
      <c r="I24" s="10"/>
      <c r="J24" s="10" t="s">
        <v>14</v>
      </c>
    </row>
    <row r="25" spans="1:10" x14ac:dyDescent="0.3">
      <c r="A25" s="9" t="s">
        <v>53</v>
      </c>
      <c r="B25" s="10" t="s">
        <v>54</v>
      </c>
      <c r="C25" s="10" t="s">
        <v>11</v>
      </c>
      <c r="D25" s="11">
        <v>45736</v>
      </c>
      <c r="E25" s="12">
        <v>2.1819563400000002</v>
      </c>
      <c r="F25" s="13">
        <v>117.38</v>
      </c>
      <c r="G25" s="13">
        <f>+F25*E25</f>
        <v>256.11803518919999</v>
      </c>
      <c r="H25" s="14" t="s">
        <v>13</v>
      </c>
      <c r="I25" s="10"/>
      <c r="J25" s="10" t="s">
        <v>14</v>
      </c>
    </row>
    <row r="26" spans="1:10" x14ac:dyDescent="0.3">
      <c r="A26" s="9" t="s">
        <v>53</v>
      </c>
      <c r="B26" s="10" t="s">
        <v>54</v>
      </c>
      <c r="C26" s="10" t="s">
        <v>11</v>
      </c>
      <c r="D26" s="11">
        <v>45811</v>
      </c>
      <c r="E26" s="12">
        <v>2.5164324699999998</v>
      </c>
      <c r="F26" s="13">
        <v>119.81</v>
      </c>
      <c r="G26" s="13">
        <f>+F26*E26</f>
        <v>301.49377423069996</v>
      </c>
      <c r="H26" s="14" t="s">
        <v>13</v>
      </c>
      <c r="I26" s="10"/>
      <c r="J26" s="10" t="s">
        <v>14</v>
      </c>
    </row>
    <row r="27" spans="1:10" x14ac:dyDescent="0.3">
      <c r="A27" s="9" t="s">
        <v>53</v>
      </c>
      <c r="B27" s="10" t="s">
        <v>54</v>
      </c>
      <c r="C27" s="10" t="s">
        <v>11</v>
      </c>
      <c r="D27" s="11">
        <v>45840</v>
      </c>
      <c r="E27" s="12">
        <v>1.0494844299999999</v>
      </c>
      <c r="F27" s="13">
        <v>132.41999999999999</v>
      </c>
      <c r="G27" s="13">
        <f>+F27*E27</f>
        <v>138.97272822059998</v>
      </c>
      <c r="H27" s="14" t="s">
        <v>13</v>
      </c>
      <c r="I27" s="10"/>
      <c r="J27" s="10" t="s">
        <v>14</v>
      </c>
    </row>
    <row r="28" spans="1:10" x14ac:dyDescent="0.3">
      <c r="A28" s="9" t="s">
        <v>53</v>
      </c>
      <c r="B28" s="10" t="s">
        <v>54</v>
      </c>
      <c r="C28" s="10" t="s">
        <v>11</v>
      </c>
      <c r="D28" s="11">
        <v>45849</v>
      </c>
      <c r="E28" s="12">
        <v>1.6368904500000001</v>
      </c>
      <c r="F28" s="13">
        <v>141.43</v>
      </c>
      <c r="G28" s="13">
        <f>+F28*E28</f>
        <v>231.50541634350003</v>
      </c>
      <c r="H28" s="14" t="s">
        <v>13</v>
      </c>
      <c r="I28" s="10"/>
      <c r="J28" s="10" t="s">
        <v>14</v>
      </c>
    </row>
    <row r="29" spans="1:10" x14ac:dyDescent="0.3">
      <c r="A29" s="9" t="s">
        <v>53</v>
      </c>
      <c r="B29" s="10" t="s">
        <v>54</v>
      </c>
      <c r="C29" s="10" t="s">
        <v>11</v>
      </c>
      <c r="D29" s="11">
        <v>45853</v>
      </c>
      <c r="E29" s="12">
        <v>1.8978397899999999</v>
      </c>
      <c r="F29" s="13">
        <v>138.19999999999999</v>
      </c>
      <c r="G29" s="13">
        <f>+F29*E29</f>
        <v>262.28145897799999</v>
      </c>
      <c r="H29" s="14" t="s">
        <v>13</v>
      </c>
      <c r="I29" s="10"/>
      <c r="J29" s="10" t="s">
        <v>14</v>
      </c>
    </row>
    <row r="30" spans="1:10" x14ac:dyDescent="0.3">
      <c r="A30" s="9" t="s">
        <v>53</v>
      </c>
      <c r="B30" s="10" t="s">
        <v>54</v>
      </c>
      <c r="C30" s="10" t="s">
        <v>11</v>
      </c>
      <c r="D30" s="11">
        <v>45860</v>
      </c>
      <c r="E30" s="12">
        <v>2.7824886800000002</v>
      </c>
      <c r="F30" s="13">
        <v>143.76</v>
      </c>
      <c r="G30" s="13">
        <f>+F30*E30</f>
        <v>400.01057263680002</v>
      </c>
      <c r="H30" s="14" t="s">
        <v>13</v>
      </c>
      <c r="I30" s="10"/>
      <c r="J30" s="10" t="s">
        <v>14</v>
      </c>
    </row>
    <row r="31" spans="1:10" x14ac:dyDescent="0.3">
      <c r="A31" s="9" t="s">
        <v>53</v>
      </c>
      <c r="B31" s="10" t="s">
        <v>54</v>
      </c>
      <c r="C31" s="10" t="s">
        <v>11</v>
      </c>
      <c r="D31" s="11">
        <v>45870</v>
      </c>
      <c r="E31" s="12">
        <v>3.5360628900000002</v>
      </c>
      <c r="F31" s="13">
        <v>141.4</v>
      </c>
      <c r="G31" s="13">
        <f>+F31*E31</f>
        <v>499.99929264600007</v>
      </c>
      <c r="H31" s="14" t="s">
        <v>13</v>
      </c>
      <c r="I31" s="10"/>
      <c r="J31" s="10" t="s">
        <v>14</v>
      </c>
    </row>
    <row r="32" spans="1:10" x14ac:dyDescent="0.3">
      <c r="A32" s="9" t="s">
        <v>53</v>
      </c>
      <c r="B32" s="10" t="s">
        <v>54</v>
      </c>
      <c r="C32" s="10" t="s">
        <v>11</v>
      </c>
      <c r="D32" s="11">
        <v>45958</v>
      </c>
      <c r="E32" s="12">
        <v>4.1259163599999997</v>
      </c>
      <c r="F32" s="13">
        <v>121.19</v>
      </c>
      <c r="G32" s="13">
        <f>+F32*E32</f>
        <v>500.01980366839996</v>
      </c>
      <c r="H32" s="14" t="s">
        <v>13</v>
      </c>
      <c r="I32" s="10"/>
      <c r="J32" s="10" t="s">
        <v>14</v>
      </c>
    </row>
    <row r="33" spans="1:10" x14ac:dyDescent="0.3">
      <c r="A33" s="3" t="s">
        <v>62</v>
      </c>
      <c r="B33" s="4" t="s">
        <v>63</v>
      </c>
      <c r="C33" s="4" t="s">
        <v>11</v>
      </c>
      <c r="D33" s="5" t="s">
        <v>65</v>
      </c>
      <c r="E33" s="6">
        <v>2.3309000000000002</v>
      </c>
      <c r="F33" s="7">
        <v>85.8</v>
      </c>
      <c r="G33" s="7">
        <v>200</v>
      </c>
      <c r="H33" s="8" t="s">
        <v>13</v>
      </c>
      <c r="I33" s="4"/>
      <c r="J33" s="4" t="s">
        <v>14</v>
      </c>
    </row>
    <row r="34" spans="1:10" x14ac:dyDescent="0.3">
      <c r="A34" s="3" t="s">
        <v>9</v>
      </c>
      <c r="B34" s="4" t="s">
        <v>10</v>
      </c>
      <c r="C34" s="4" t="s">
        <v>11</v>
      </c>
      <c r="D34" s="5" t="s">
        <v>27</v>
      </c>
      <c r="E34" s="6">
        <v>0.5202</v>
      </c>
      <c r="F34" s="7">
        <v>576.74</v>
      </c>
      <c r="G34" s="7">
        <v>300</v>
      </c>
      <c r="H34" s="8" t="s">
        <v>13</v>
      </c>
      <c r="I34" s="4"/>
      <c r="J34" s="4" t="s">
        <v>14</v>
      </c>
    </row>
    <row r="35" spans="1:10" x14ac:dyDescent="0.3">
      <c r="A35" s="9" t="s">
        <v>9</v>
      </c>
      <c r="B35" s="10" t="s">
        <v>10</v>
      </c>
      <c r="C35" s="10" t="s">
        <v>11</v>
      </c>
      <c r="D35" s="11" t="s">
        <v>28</v>
      </c>
      <c r="E35" s="12">
        <v>0.44979999999999998</v>
      </c>
      <c r="F35" s="13">
        <v>572.58000000000004</v>
      </c>
      <c r="G35" s="13">
        <v>257.52999999999997</v>
      </c>
      <c r="H35" s="14" t="s">
        <v>13</v>
      </c>
      <c r="I35" s="10"/>
      <c r="J35" s="10" t="s">
        <v>14</v>
      </c>
    </row>
    <row r="36" spans="1:10" x14ac:dyDescent="0.3">
      <c r="A36" s="3" t="s">
        <v>9</v>
      </c>
      <c r="B36" s="4" t="s">
        <v>10</v>
      </c>
      <c r="C36" s="4" t="s">
        <v>11</v>
      </c>
      <c r="D36" s="5" t="s">
        <v>28</v>
      </c>
      <c r="E36" s="6">
        <v>0.87380000000000002</v>
      </c>
      <c r="F36" s="7">
        <v>572.19000000000005</v>
      </c>
      <c r="G36" s="7">
        <v>500</v>
      </c>
      <c r="H36" s="8" t="s">
        <v>13</v>
      </c>
      <c r="I36" s="4"/>
      <c r="J36" s="4" t="s">
        <v>14</v>
      </c>
    </row>
    <row r="37" spans="1:10" x14ac:dyDescent="0.3">
      <c r="A37" s="9" t="s">
        <v>62</v>
      </c>
      <c r="B37" s="10" t="s">
        <v>63</v>
      </c>
      <c r="C37" s="10" t="s">
        <v>11</v>
      </c>
      <c r="D37" s="11" t="s">
        <v>28</v>
      </c>
      <c r="E37" s="12">
        <v>3.1042999999999998</v>
      </c>
      <c r="F37" s="13">
        <v>80.53</v>
      </c>
      <c r="G37" s="13">
        <v>250</v>
      </c>
      <c r="H37" s="14" t="s">
        <v>13</v>
      </c>
      <c r="I37" s="10"/>
      <c r="J37" s="10" t="s">
        <v>14</v>
      </c>
    </row>
    <row r="38" spans="1:10" x14ac:dyDescent="0.3">
      <c r="A38" s="3" t="s">
        <v>62</v>
      </c>
      <c r="B38" s="4" t="s">
        <v>63</v>
      </c>
      <c r="C38" s="4" t="s">
        <v>11</v>
      </c>
      <c r="D38" s="5" t="s">
        <v>66</v>
      </c>
      <c r="E38" s="6">
        <v>4.0529999999999999</v>
      </c>
      <c r="F38" s="7">
        <v>79.3</v>
      </c>
      <c r="G38" s="7">
        <v>321.39999999999998</v>
      </c>
      <c r="H38" s="8" t="s">
        <v>13</v>
      </c>
      <c r="I38" s="4"/>
      <c r="J38" s="4" t="s">
        <v>14</v>
      </c>
    </row>
    <row r="39" spans="1:10" x14ac:dyDescent="0.3">
      <c r="A39" s="9" t="s">
        <v>62</v>
      </c>
      <c r="B39" s="10" t="s">
        <v>63</v>
      </c>
      <c r="C39" s="10" t="s">
        <v>11</v>
      </c>
      <c r="D39" s="11" t="s">
        <v>67</v>
      </c>
      <c r="E39" s="12">
        <v>5.4452999999999996</v>
      </c>
      <c r="F39" s="13">
        <v>78.290000000000006</v>
      </c>
      <c r="G39" s="13">
        <v>426.3</v>
      </c>
      <c r="H39" s="14" t="s">
        <v>13</v>
      </c>
      <c r="I39" s="10"/>
      <c r="J39" s="10" t="s">
        <v>14</v>
      </c>
    </row>
    <row r="40" spans="1:10" x14ac:dyDescent="0.3">
      <c r="A40" s="9" t="s">
        <v>9</v>
      </c>
      <c r="B40" s="10" t="s">
        <v>10</v>
      </c>
      <c r="C40" s="10" t="s">
        <v>11</v>
      </c>
      <c r="D40" s="11" t="s">
        <v>29</v>
      </c>
      <c r="E40" s="12">
        <v>0.93779999999999997</v>
      </c>
      <c r="F40" s="13">
        <v>594.88</v>
      </c>
      <c r="G40" s="13">
        <v>557.85</v>
      </c>
      <c r="H40" s="14" t="s">
        <v>13</v>
      </c>
      <c r="I40" s="10"/>
      <c r="J40" s="10" t="s">
        <v>14</v>
      </c>
    </row>
    <row r="41" spans="1:10" x14ac:dyDescent="0.3">
      <c r="A41" s="9" t="s">
        <v>81</v>
      </c>
      <c r="B41" s="10" t="s">
        <v>82</v>
      </c>
      <c r="C41" s="10" t="s">
        <v>11</v>
      </c>
      <c r="D41" s="11" t="s">
        <v>29</v>
      </c>
      <c r="E41" s="12">
        <v>120.01</v>
      </c>
      <c r="F41" s="13">
        <v>12.5</v>
      </c>
      <c r="G41" s="13">
        <v>1500</v>
      </c>
      <c r="H41" s="14" t="s">
        <v>13</v>
      </c>
      <c r="I41" s="10"/>
      <c r="J41" s="10" t="s">
        <v>14</v>
      </c>
    </row>
    <row r="42" spans="1:10" x14ac:dyDescent="0.3">
      <c r="A42" s="3" t="s">
        <v>62</v>
      </c>
      <c r="B42" s="4" t="s">
        <v>63</v>
      </c>
      <c r="C42" s="4" t="s">
        <v>11</v>
      </c>
      <c r="D42" s="5" t="s">
        <v>68</v>
      </c>
      <c r="E42" s="6">
        <v>1.5613999999999999</v>
      </c>
      <c r="F42" s="7">
        <v>64.040000000000006</v>
      </c>
      <c r="G42" s="7">
        <v>100</v>
      </c>
      <c r="H42" s="8" t="s">
        <v>13</v>
      </c>
      <c r="I42" s="4"/>
      <c r="J42" s="4" t="s">
        <v>14</v>
      </c>
    </row>
    <row r="43" spans="1:10" x14ac:dyDescent="0.3">
      <c r="A43" s="3" t="s">
        <v>88</v>
      </c>
      <c r="B43" s="4" t="s">
        <v>89</v>
      </c>
      <c r="C43" s="4" t="s">
        <v>11</v>
      </c>
      <c r="D43" s="5" t="s">
        <v>68</v>
      </c>
      <c r="E43" s="6">
        <v>8.3000000000000007</v>
      </c>
      <c r="F43" s="7">
        <v>92.13</v>
      </c>
      <c r="G43" s="7">
        <v>764</v>
      </c>
      <c r="H43" s="8" t="s">
        <v>13</v>
      </c>
      <c r="I43" s="4" t="s">
        <v>90</v>
      </c>
      <c r="J43" s="4" t="s">
        <v>14</v>
      </c>
    </row>
    <row r="44" spans="1:10" x14ac:dyDescent="0.3">
      <c r="A44" s="9" t="s">
        <v>45</v>
      </c>
      <c r="B44" s="10" t="s">
        <v>46</v>
      </c>
      <c r="C44" s="10" t="s">
        <v>11</v>
      </c>
      <c r="D44" s="11" t="s">
        <v>47</v>
      </c>
      <c r="E44" s="12">
        <v>199.89</v>
      </c>
      <c r="F44" s="13">
        <v>5.14</v>
      </c>
      <c r="G44" s="13">
        <v>1027.22</v>
      </c>
      <c r="H44" s="14" t="s">
        <v>13</v>
      </c>
      <c r="I44" s="10"/>
      <c r="J44" s="10" t="s">
        <v>14</v>
      </c>
    </row>
    <row r="45" spans="1:10" x14ac:dyDescent="0.3">
      <c r="A45" s="3" t="s">
        <v>45</v>
      </c>
      <c r="B45" s="4" t="s">
        <v>46</v>
      </c>
      <c r="C45" s="4" t="s">
        <v>11</v>
      </c>
      <c r="D45" s="5" t="s">
        <v>48</v>
      </c>
      <c r="E45" s="6">
        <v>159.31</v>
      </c>
      <c r="F45" s="7">
        <v>6.15</v>
      </c>
      <c r="G45" s="7">
        <v>979.59</v>
      </c>
      <c r="H45" s="8" t="s">
        <v>13</v>
      </c>
      <c r="I45" s="4"/>
      <c r="J45" s="4" t="s">
        <v>14</v>
      </c>
    </row>
    <row r="46" spans="1:10" x14ac:dyDescent="0.3">
      <c r="A46" s="9" t="s">
        <v>59</v>
      </c>
      <c r="B46" s="10" t="s">
        <v>60</v>
      </c>
      <c r="C46" s="10" t="s">
        <v>11</v>
      </c>
      <c r="D46" s="11" t="s">
        <v>61</v>
      </c>
      <c r="E46" s="12">
        <v>6.0235000000000003</v>
      </c>
      <c r="F46" s="13">
        <v>166.02</v>
      </c>
      <c r="G46" s="13">
        <v>1000</v>
      </c>
      <c r="H46" s="14" t="s">
        <v>13</v>
      </c>
      <c r="I46" s="10"/>
      <c r="J46" s="10" t="s">
        <v>14</v>
      </c>
    </row>
    <row r="47" spans="1:10" x14ac:dyDescent="0.3">
      <c r="A47" s="9" t="s">
        <v>45</v>
      </c>
      <c r="B47" s="10" t="s">
        <v>46</v>
      </c>
      <c r="C47" s="10" t="s">
        <v>11</v>
      </c>
      <c r="D47" s="11" t="s">
        <v>49</v>
      </c>
      <c r="E47" s="12">
        <v>264.87</v>
      </c>
      <c r="F47" s="13">
        <v>7.62</v>
      </c>
      <c r="G47" s="13">
        <v>2018</v>
      </c>
      <c r="H47" s="14" t="s">
        <v>13</v>
      </c>
      <c r="I47" s="10"/>
      <c r="J47" s="10" t="s">
        <v>14</v>
      </c>
    </row>
    <row r="48" spans="1:10" x14ac:dyDescent="0.3">
      <c r="A48" s="3" t="s">
        <v>59</v>
      </c>
      <c r="B48" s="4" t="s">
        <v>60</v>
      </c>
      <c r="C48" s="4" t="s">
        <v>11</v>
      </c>
      <c r="D48" s="5" t="s">
        <v>49</v>
      </c>
      <c r="E48" s="6">
        <v>3.1375999999999999</v>
      </c>
      <c r="F48" s="7">
        <v>163.35</v>
      </c>
      <c r="G48" s="7">
        <v>512.52</v>
      </c>
      <c r="H48" s="8" t="s">
        <v>13</v>
      </c>
      <c r="I48" s="4"/>
      <c r="J48" s="4" t="s">
        <v>14</v>
      </c>
    </row>
    <row r="49" spans="1:10" x14ac:dyDescent="0.3">
      <c r="A49" s="3" t="s">
        <v>83</v>
      </c>
      <c r="B49" s="4" t="s">
        <v>84</v>
      </c>
      <c r="C49" s="4" t="s">
        <v>11</v>
      </c>
      <c r="D49" s="5" t="s">
        <v>49</v>
      </c>
      <c r="E49" s="6">
        <v>76.963700000000003</v>
      </c>
      <c r="F49" s="7">
        <v>19.5</v>
      </c>
      <c r="G49" s="7">
        <v>1500.7</v>
      </c>
      <c r="H49" s="8" t="s">
        <v>13</v>
      </c>
      <c r="I49" s="4"/>
      <c r="J49" s="4" t="s">
        <v>14</v>
      </c>
    </row>
    <row r="50" spans="1:10" x14ac:dyDescent="0.3">
      <c r="A50" s="9" t="s">
        <v>88</v>
      </c>
      <c r="B50" s="10" t="s">
        <v>89</v>
      </c>
      <c r="C50" s="10" t="s">
        <v>11</v>
      </c>
      <c r="D50" s="11" t="s">
        <v>49</v>
      </c>
      <c r="E50" s="12">
        <v>17.21</v>
      </c>
      <c r="F50" s="13">
        <v>116.19</v>
      </c>
      <c r="G50" s="13">
        <v>2000</v>
      </c>
      <c r="H50" s="14" t="s">
        <v>13</v>
      </c>
      <c r="I50" s="10"/>
      <c r="J50" s="10" t="s">
        <v>14</v>
      </c>
    </row>
    <row r="51" spans="1:10" x14ac:dyDescent="0.3">
      <c r="A51" s="3" t="s">
        <v>45</v>
      </c>
      <c r="B51" s="4" t="s">
        <v>46</v>
      </c>
      <c r="C51" s="4" t="s">
        <v>11</v>
      </c>
      <c r="D51" s="5" t="s">
        <v>50</v>
      </c>
      <c r="E51" s="6">
        <v>150</v>
      </c>
      <c r="F51" s="7">
        <v>9.9600000000000009</v>
      </c>
      <c r="G51" s="7">
        <v>1493.82</v>
      </c>
      <c r="H51" s="8" t="s">
        <v>13</v>
      </c>
      <c r="I51" s="4" t="s">
        <v>51</v>
      </c>
      <c r="J51" s="4" t="s">
        <v>14</v>
      </c>
    </row>
    <row r="52" spans="1:10" x14ac:dyDescent="0.3">
      <c r="A52" s="9" t="s">
        <v>45</v>
      </c>
      <c r="B52" s="10" t="s">
        <v>46</v>
      </c>
      <c r="C52" s="10" t="s">
        <v>11</v>
      </c>
      <c r="D52" s="11" t="s">
        <v>50</v>
      </c>
      <c r="E52" s="12">
        <v>53.55</v>
      </c>
      <c r="F52" s="13">
        <v>9.86</v>
      </c>
      <c r="G52" s="13">
        <v>527.97</v>
      </c>
      <c r="H52" s="14" t="s">
        <v>13</v>
      </c>
      <c r="I52" s="10"/>
      <c r="J52" s="10" t="s">
        <v>14</v>
      </c>
    </row>
    <row r="53" spans="1:10" x14ac:dyDescent="0.3">
      <c r="A53" s="3" t="s">
        <v>45</v>
      </c>
      <c r="B53" s="4" t="s">
        <v>46</v>
      </c>
      <c r="C53" s="4" t="s">
        <v>11</v>
      </c>
      <c r="D53" s="5" t="s">
        <v>50</v>
      </c>
      <c r="E53" s="6">
        <v>70.099999999999994</v>
      </c>
      <c r="F53" s="7">
        <v>9.48</v>
      </c>
      <c r="G53" s="7">
        <v>664.5</v>
      </c>
      <c r="H53" s="8" t="s">
        <v>13</v>
      </c>
      <c r="I53" s="4"/>
      <c r="J53" s="4" t="s">
        <v>14</v>
      </c>
    </row>
    <row r="54" spans="1:10" x14ac:dyDescent="0.3">
      <c r="A54" s="9" t="s">
        <v>45</v>
      </c>
      <c r="B54" s="10" t="s">
        <v>46</v>
      </c>
      <c r="C54" s="10" t="s">
        <v>11</v>
      </c>
      <c r="D54" s="11" t="s">
        <v>50</v>
      </c>
      <c r="E54" s="12">
        <v>54.08</v>
      </c>
      <c r="F54" s="13">
        <v>9.26</v>
      </c>
      <c r="G54" s="13">
        <v>500.75</v>
      </c>
      <c r="H54" s="14" t="s">
        <v>13</v>
      </c>
      <c r="I54" s="10"/>
      <c r="J54" s="10" t="s">
        <v>14</v>
      </c>
    </row>
    <row r="55" spans="1:10" x14ac:dyDescent="0.3">
      <c r="A55" s="3" t="s">
        <v>45</v>
      </c>
      <c r="B55" s="4" t="s">
        <v>46</v>
      </c>
      <c r="C55" s="4" t="s">
        <v>11</v>
      </c>
      <c r="D55" s="5" t="s">
        <v>50</v>
      </c>
      <c r="E55" s="6">
        <v>55.55</v>
      </c>
      <c r="F55" s="7">
        <v>9</v>
      </c>
      <c r="G55" s="7">
        <v>499.87</v>
      </c>
      <c r="H55" s="8" t="s">
        <v>13</v>
      </c>
      <c r="I55" s="4"/>
      <c r="J55" s="4" t="s">
        <v>14</v>
      </c>
    </row>
    <row r="56" spans="1:10" x14ac:dyDescent="0.3">
      <c r="A56" s="3" t="s">
        <v>78</v>
      </c>
      <c r="B56" s="4" t="s">
        <v>79</v>
      </c>
      <c r="C56" s="4" t="s">
        <v>11</v>
      </c>
      <c r="D56" s="5" t="s">
        <v>80</v>
      </c>
      <c r="E56" s="6">
        <v>2.1646000000000001</v>
      </c>
      <c r="F56" s="7">
        <v>689.13</v>
      </c>
      <c r="G56" s="7">
        <v>1491.72</v>
      </c>
      <c r="H56" s="8" t="s">
        <v>13</v>
      </c>
      <c r="I56" s="4"/>
      <c r="J56" s="4" t="s">
        <v>14</v>
      </c>
    </row>
    <row r="57" spans="1:10" x14ac:dyDescent="0.3">
      <c r="A57" s="3" t="s">
        <v>70</v>
      </c>
      <c r="B57" s="4" t="s">
        <v>71</v>
      </c>
      <c r="C57" s="4" t="s">
        <v>11</v>
      </c>
      <c r="D57" s="5" t="s">
        <v>72</v>
      </c>
      <c r="E57" s="6">
        <v>101.71</v>
      </c>
      <c r="F57" s="7">
        <v>11.8</v>
      </c>
      <c r="G57" s="7">
        <v>1200.0999999999999</v>
      </c>
      <c r="H57" s="8" t="s">
        <v>13</v>
      </c>
      <c r="I57" s="4"/>
      <c r="J57" s="4" t="s">
        <v>14</v>
      </c>
    </row>
    <row r="58" spans="1:10" x14ac:dyDescent="0.3">
      <c r="A58" s="9" t="s">
        <v>73</v>
      </c>
      <c r="B58" s="10" t="s">
        <v>74</v>
      </c>
      <c r="C58" s="10" t="s">
        <v>11</v>
      </c>
      <c r="D58" s="11" t="s">
        <v>75</v>
      </c>
      <c r="E58" s="12">
        <v>9.2695000000000007</v>
      </c>
      <c r="F58" s="13">
        <v>74.33</v>
      </c>
      <c r="G58" s="13">
        <v>689.03</v>
      </c>
      <c r="H58" s="14" t="s">
        <v>13</v>
      </c>
      <c r="I58" s="10"/>
      <c r="J58" s="10" t="s">
        <v>14</v>
      </c>
    </row>
    <row r="59" spans="1:10" x14ac:dyDescent="0.3">
      <c r="A59" s="3" t="s">
        <v>73</v>
      </c>
      <c r="B59" s="4" t="s">
        <v>74</v>
      </c>
      <c r="C59" s="4" t="s">
        <v>11</v>
      </c>
      <c r="D59" s="5" t="s">
        <v>75</v>
      </c>
      <c r="E59" s="6">
        <v>20.168800000000001</v>
      </c>
      <c r="F59" s="7">
        <v>74.39</v>
      </c>
      <c r="G59" s="7">
        <v>1500.44</v>
      </c>
      <c r="H59" s="8" t="s">
        <v>13</v>
      </c>
      <c r="I59" s="4"/>
      <c r="J59" s="4" t="s">
        <v>14</v>
      </c>
    </row>
    <row r="60" spans="1:10" x14ac:dyDescent="0.3">
      <c r="A60" s="9" t="s">
        <v>76</v>
      </c>
      <c r="B60" s="10" t="s">
        <v>77</v>
      </c>
      <c r="C60" s="10" t="s">
        <v>11</v>
      </c>
      <c r="D60" s="11" t="s">
        <v>75</v>
      </c>
      <c r="E60" s="12">
        <v>196.38</v>
      </c>
      <c r="F60" s="13">
        <v>15.28</v>
      </c>
      <c r="G60" s="13">
        <v>3000</v>
      </c>
      <c r="H60" s="14" t="s">
        <v>13</v>
      </c>
      <c r="I60" s="10"/>
      <c r="J60" s="10" t="s">
        <v>14</v>
      </c>
    </row>
    <row r="61" spans="1:10" x14ac:dyDescent="0.3">
      <c r="A61" s="3" t="s">
        <v>32</v>
      </c>
      <c r="B61" s="4" t="s">
        <v>33</v>
      </c>
      <c r="C61" s="4" t="s">
        <v>11</v>
      </c>
      <c r="D61" s="5" t="s">
        <v>34</v>
      </c>
      <c r="E61" s="6">
        <v>323.48</v>
      </c>
      <c r="F61" s="7">
        <v>7.9</v>
      </c>
      <c r="G61" s="7">
        <v>2555.04</v>
      </c>
      <c r="H61" s="8" t="s">
        <v>13</v>
      </c>
      <c r="I61" s="4"/>
      <c r="J61" s="4" t="s">
        <v>14</v>
      </c>
    </row>
    <row r="62" spans="1:10" x14ac:dyDescent="0.3">
      <c r="A62" s="9" t="s">
        <v>32</v>
      </c>
      <c r="B62" s="10" t="s">
        <v>33</v>
      </c>
      <c r="C62" s="10" t="s">
        <v>11</v>
      </c>
      <c r="D62" s="11" t="s">
        <v>35</v>
      </c>
      <c r="E62" s="12">
        <v>669.34</v>
      </c>
      <c r="F62" s="13">
        <v>7.86</v>
      </c>
      <c r="G62" s="13">
        <v>5258.86</v>
      </c>
      <c r="H62" s="14" t="s">
        <v>13</v>
      </c>
      <c r="I62" s="10"/>
      <c r="J62" s="10" t="s">
        <v>14</v>
      </c>
    </row>
    <row r="63" spans="1:10" x14ac:dyDescent="0.3">
      <c r="A63" s="9" t="s">
        <v>62</v>
      </c>
      <c r="B63" s="10" t="s">
        <v>63</v>
      </c>
      <c r="C63" s="10" t="s">
        <v>11</v>
      </c>
      <c r="D63" s="11" t="s">
        <v>69</v>
      </c>
      <c r="E63" s="12">
        <v>8.3467000000000002</v>
      </c>
      <c r="F63" s="13">
        <v>63.89</v>
      </c>
      <c r="G63" s="13">
        <v>533.29999999999995</v>
      </c>
      <c r="H63" s="14" t="s">
        <v>13</v>
      </c>
      <c r="I63" s="10"/>
      <c r="J63" s="10" t="s">
        <v>14</v>
      </c>
    </row>
    <row r="64" spans="1:10" x14ac:dyDescent="0.3">
      <c r="A64" s="9" t="s">
        <v>85</v>
      </c>
      <c r="B64" s="10" t="s">
        <v>86</v>
      </c>
      <c r="C64" s="10" t="s">
        <v>11</v>
      </c>
      <c r="D64" s="11" t="s">
        <v>87</v>
      </c>
      <c r="E64" s="12">
        <v>3.7974000000000001</v>
      </c>
      <c r="F64" s="13">
        <v>599.48</v>
      </c>
      <c r="G64" s="13">
        <v>2276.4499999999998</v>
      </c>
      <c r="H64" s="14" t="s">
        <v>13</v>
      </c>
      <c r="I64" s="10"/>
      <c r="J64" s="10" t="s">
        <v>14</v>
      </c>
    </row>
    <row r="65" spans="1:10" x14ac:dyDescent="0.3">
      <c r="A65" s="9" t="s">
        <v>45</v>
      </c>
      <c r="B65" s="10" t="s">
        <v>46</v>
      </c>
      <c r="C65" s="10" t="s">
        <v>11</v>
      </c>
      <c r="D65" s="11" t="s">
        <v>52</v>
      </c>
      <c r="E65" s="12">
        <v>65.17</v>
      </c>
      <c r="F65" s="13">
        <v>6.13</v>
      </c>
      <c r="G65" s="13">
        <v>399.42</v>
      </c>
      <c r="H65" s="14" t="s">
        <v>13</v>
      </c>
      <c r="I65" s="10"/>
      <c r="J65" s="10" t="s">
        <v>14</v>
      </c>
    </row>
    <row r="66" spans="1:10" x14ac:dyDescent="0.3">
      <c r="A66" s="3" t="s">
        <v>42</v>
      </c>
      <c r="B66" s="4" t="s">
        <v>43</v>
      </c>
      <c r="C66" s="4" t="s">
        <v>11</v>
      </c>
      <c r="D66" s="5" t="s">
        <v>44</v>
      </c>
      <c r="E66" s="6">
        <v>149.88999999999999</v>
      </c>
      <c r="F66" s="7">
        <v>14.78</v>
      </c>
      <c r="G66" s="7">
        <v>2215.9699999999998</v>
      </c>
      <c r="H66" s="8" t="s">
        <v>13</v>
      </c>
      <c r="I66" s="4"/>
      <c r="J66" s="4" t="s">
        <v>14</v>
      </c>
    </row>
    <row r="67" spans="1:10" x14ac:dyDescent="0.3">
      <c r="A67" s="3" t="s">
        <v>9</v>
      </c>
      <c r="B67" s="4" t="s">
        <v>10</v>
      </c>
      <c r="C67" s="4" t="s">
        <v>11</v>
      </c>
      <c r="D67" s="5" t="s">
        <v>30</v>
      </c>
      <c r="E67" s="6">
        <v>1.8226</v>
      </c>
      <c r="F67" s="7">
        <v>624.23</v>
      </c>
      <c r="G67" s="7">
        <v>1137.74</v>
      </c>
      <c r="H67" s="8" t="s">
        <v>13</v>
      </c>
      <c r="I67" s="4"/>
      <c r="J67" s="4" t="s">
        <v>14</v>
      </c>
    </row>
    <row r="68" spans="1:10" x14ac:dyDescent="0.3">
      <c r="A68" s="9" t="s">
        <v>9</v>
      </c>
      <c r="B68" s="10" t="s">
        <v>10</v>
      </c>
      <c r="C68" s="10" t="s">
        <v>11</v>
      </c>
      <c r="D68" s="11" t="s">
        <v>31</v>
      </c>
      <c r="E68" s="12">
        <v>1.5933999999999999</v>
      </c>
      <c r="F68" s="13">
        <v>627.59</v>
      </c>
      <c r="G68" s="13">
        <v>1000</v>
      </c>
      <c r="H68" s="14" t="s">
        <v>13</v>
      </c>
      <c r="I68" s="10"/>
      <c r="J68" s="10" t="s">
        <v>14</v>
      </c>
    </row>
    <row r="69" spans="1:10" x14ac:dyDescent="0.3">
      <c r="A69" s="9" t="s">
        <v>39</v>
      </c>
      <c r="B69" s="10" t="s">
        <v>40</v>
      </c>
      <c r="C69" s="10" t="s">
        <v>11</v>
      </c>
      <c r="D69" s="11" t="s">
        <v>41</v>
      </c>
      <c r="E69" s="12">
        <v>29.75</v>
      </c>
      <c r="F69" s="13">
        <v>44.66</v>
      </c>
      <c r="G69" s="13">
        <v>1328.32</v>
      </c>
      <c r="H69" s="14" t="s">
        <v>13</v>
      </c>
      <c r="I69" s="10"/>
      <c r="J69" s="10" t="s">
        <v>14</v>
      </c>
    </row>
    <row r="70" spans="1:10" x14ac:dyDescent="0.3">
      <c r="A70" s="3" t="s">
        <v>36</v>
      </c>
      <c r="B70" s="4" t="s">
        <v>37</v>
      </c>
      <c r="C70" s="4" t="s">
        <v>11</v>
      </c>
      <c r="D70" s="5" t="s">
        <v>38</v>
      </c>
      <c r="E70" s="6">
        <v>484.02</v>
      </c>
      <c r="F70" s="7">
        <v>6.94</v>
      </c>
      <c r="G70" s="7">
        <v>3358.43</v>
      </c>
      <c r="H70" s="8" t="s">
        <v>13</v>
      </c>
      <c r="I70" s="4"/>
      <c r="J70" s="4" t="s">
        <v>14</v>
      </c>
    </row>
    <row r="71" spans="1:10" x14ac:dyDescent="0.3">
      <c r="A71" s="3" t="s">
        <v>36</v>
      </c>
      <c r="B71" s="4" t="s">
        <v>37</v>
      </c>
      <c r="C71" s="4" t="s">
        <v>11</v>
      </c>
      <c r="D71" s="5">
        <v>46112</v>
      </c>
      <c r="E71" s="6">
        <v>9.4591257100000004</v>
      </c>
      <c r="F71" s="7">
        <v>5.67</v>
      </c>
      <c r="G71" s="7">
        <f t="shared" ref="G71:G85" si="0">+F71*E71</f>
        <v>53.633242775700005</v>
      </c>
      <c r="H71" s="8" t="s">
        <v>13</v>
      </c>
      <c r="I71" s="4"/>
      <c r="J71" s="4" t="s">
        <v>93</v>
      </c>
    </row>
    <row r="72" spans="1:10" x14ac:dyDescent="0.3">
      <c r="A72" s="3" t="s">
        <v>36</v>
      </c>
      <c r="B72" s="4" t="s">
        <v>37</v>
      </c>
      <c r="C72" s="4" t="s">
        <v>11</v>
      </c>
      <c r="D72" s="5">
        <v>46135</v>
      </c>
      <c r="E72" s="6">
        <v>41.676391150000001</v>
      </c>
      <c r="F72" s="7">
        <v>6</v>
      </c>
      <c r="G72" s="7">
        <f t="shared" si="0"/>
        <v>250.0583469</v>
      </c>
      <c r="H72" s="8" t="s">
        <v>13</v>
      </c>
      <c r="I72" s="4"/>
      <c r="J72" s="4" t="s">
        <v>93</v>
      </c>
    </row>
    <row r="73" spans="1:10" x14ac:dyDescent="0.3">
      <c r="A73" s="9" t="s">
        <v>62</v>
      </c>
      <c r="B73" s="10" t="s">
        <v>63</v>
      </c>
      <c r="C73" s="10" t="s">
        <v>11</v>
      </c>
      <c r="D73" s="11">
        <v>46135</v>
      </c>
      <c r="E73" s="17">
        <v>5.7165069800000001</v>
      </c>
      <c r="F73" s="19">
        <v>43.73</v>
      </c>
      <c r="G73" s="7">
        <f t="shared" si="0"/>
        <v>249.98285023539998</v>
      </c>
      <c r="H73" s="8" t="s">
        <v>13</v>
      </c>
      <c r="I73" s="4"/>
      <c r="J73" s="4" t="s">
        <v>93</v>
      </c>
    </row>
    <row r="74" spans="1:10" x14ac:dyDescent="0.3">
      <c r="A74" s="3" t="s">
        <v>36</v>
      </c>
      <c r="B74" s="4" t="s">
        <v>37</v>
      </c>
      <c r="C74" s="4" t="s">
        <v>11</v>
      </c>
      <c r="D74" s="5">
        <v>46153</v>
      </c>
      <c r="E74" s="6">
        <v>47.813946369999996</v>
      </c>
      <c r="F74" s="7">
        <v>5.23</v>
      </c>
      <c r="G74" s="7">
        <f t="shared" si="0"/>
        <v>250.06693951509999</v>
      </c>
      <c r="H74" s="8" t="s">
        <v>13</v>
      </c>
      <c r="I74" s="4"/>
      <c r="J74" s="4" t="s">
        <v>93</v>
      </c>
    </row>
    <row r="75" spans="1:10" x14ac:dyDescent="0.3">
      <c r="A75" s="9" t="s">
        <v>9</v>
      </c>
      <c r="B75" s="10" t="s">
        <v>10</v>
      </c>
      <c r="C75" s="10" t="s">
        <v>11</v>
      </c>
      <c r="D75" s="11">
        <v>46154</v>
      </c>
      <c r="E75" s="12">
        <v>0.74218662999999996</v>
      </c>
      <c r="F75" s="13">
        <v>673.69</v>
      </c>
      <c r="G75" s="7">
        <f t="shared" si="0"/>
        <v>500.00371076470003</v>
      </c>
      <c r="H75" s="14" t="s">
        <v>13</v>
      </c>
      <c r="I75" s="10"/>
      <c r="J75" s="4" t="s">
        <v>93</v>
      </c>
    </row>
    <row r="76" spans="1:10" x14ac:dyDescent="0.3">
      <c r="A76" s="9" t="s">
        <v>9</v>
      </c>
      <c r="B76" s="10" t="s">
        <v>10</v>
      </c>
      <c r="C76" s="10" t="s">
        <v>11</v>
      </c>
      <c r="D76" s="11">
        <v>46161</v>
      </c>
      <c r="E76" s="12">
        <v>0.44291555999999999</v>
      </c>
      <c r="F76" s="13">
        <v>677.33</v>
      </c>
      <c r="G76" s="7">
        <f t="shared" si="0"/>
        <v>299.99999625480001</v>
      </c>
      <c r="H76" s="14" t="s">
        <v>13</v>
      </c>
      <c r="I76" s="10"/>
      <c r="J76" s="4" t="s">
        <v>93</v>
      </c>
    </row>
    <row r="77" spans="1:10" x14ac:dyDescent="0.3">
      <c r="A77" s="9" t="s">
        <v>184</v>
      </c>
      <c r="B77" s="10" t="s">
        <v>185</v>
      </c>
      <c r="C77" s="10" t="s">
        <v>11</v>
      </c>
      <c r="D77" s="11">
        <v>46171</v>
      </c>
      <c r="E77" s="12">
        <v>9.0999784600000009</v>
      </c>
      <c r="F77" s="13">
        <v>69.67</v>
      </c>
      <c r="G77" s="7">
        <f t="shared" si="0"/>
        <v>633.99549930820012</v>
      </c>
      <c r="H77" s="14" t="s">
        <v>13</v>
      </c>
      <c r="I77" s="10"/>
      <c r="J77" s="4" t="s">
        <v>93</v>
      </c>
    </row>
    <row r="78" spans="1:10" x14ac:dyDescent="0.3">
      <c r="A78" s="9" t="s">
        <v>184</v>
      </c>
      <c r="B78" s="10" t="s">
        <v>185</v>
      </c>
      <c r="C78" s="10" t="s">
        <v>11</v>
      </c>
      <c r="D78" s="11">
        <v>46171</v>
      </c>
      <c r="E78" s="12">
        <v>19.073853440000001</v>
      </c>
      <c r="F78" s="13">
        <v>69.67</v>
      </c>
      <c r="G78" s="7">
        <f t="shared" si="0"/>
        <v>1328.8753691648001</v>
      </c>
      <c r="H78" s="14" t="s">
        <v>13</v>
      </c>
      <c r="I78" s="10"/>
      <c r="J78" s="4" t="s">
        <v>93</v>
      </c>
    </row>
    <row r="79" spans="1:10" x14ac:dyDescent="0.3">
      <c r="A79" s="3" t="s">
        <v>36</v>
      </c>
      <c r="B79" s="4" t="s">
        <v>37</v>
      </c>
      <c r="C79" s="4" t="s">
        <v>11</v>
      </c>
      <c r="D79" s="5">
        <v>46175</v>
      </c>
      <c r="E79" s="6">
        <v>88.517508759999998</v>
      </c>
      <c r="F79" s="7">
        <v>5.65</v>
      </c>
      <c r="G79" s="7">
        <f t="shared" si="0"/>
        <v>500.12392449400005</v>
      </c>
      <c r="H79" s="8" t="s">
        <v>13</v>
      </c>
      <c r="I79" s="4"/>
      <c r="J79" s="4" t="s">
        <v>93</v>
      </c>
    </row>
    <row r="80" spans="1:10" x14ac:dyDescent="0.3">
      <c r="A80" s="9" t="s">
        <v>53</v>
      </c>
      <c r="B80" s="10" t="s">
        <v>54</v>
      </c>
      <c r="C80" s="10" t="s">
        <v>11</v>
      </c>
      <c r="D80" s="11">
        <v>46176</v>
      </c>
      <c r="E80" s="12">
        <v>5.4778072099999999</v>
      </c>
      <c r="F80" s="13">
        <v>91.28</v>
      </c>
      <c r="G80" s="7">
        <f t="shared" si="0"/>
        <v>500.01424212879999</v>
      </c>
      <c r="H80" s="14" t="s">
        <v>13</v>
      </c>
      <c r="I80" s="10"/>
      <c r="J80" s="10" t="s">
        <v>14</v>
      </c>
    </row>
    <row r="81" spans="1:10" x14ac:dyDescent="0.3">
      <c r="A81" s="9" t="s">
        <v>9</v>
      </c>
      <c r="B81" s="10" t="s">
        <v>10</v>
      </c>
      <c r="C81" s="10" t="s">
        <v>11</v>
      </c>
      <c r="D81" s="11">
        <v>46176</v>
      </c>
      <c r="E81" s="12">
        <v>0.72112611000000004</v>
      </c>
      <c r="F81" s="13">
        <v>693.36</v>
      </c>
      <c r="G81" s="7">
        <f t="shared" si="0"/>
        <v>499.99999962960004</v>
      </c>
      <c r="H81" s="14" t="s">
        <v>13</v>
      </c>
      <c r="I81" s="10"/>
      <c r="J81" s="4" t="s">
        <v>93</v>
      </c>
    </row>
    <row r="82" spans="1:10" x14ac:dyDescent="0.3">
      <c r="A82" s="9" t="s">
        <v>9</v>
      </c>
      <c r="B82" s="10" t="s">
        <v>10</v>
      </c>
      <c r="C82" s="10" t="s">
        <v>11</v>
      </c>
      <c r="D82" s="11">
        <v>46178</v>
      </c>
      <c r="E82" s="12">
        <v>0.44203452999999998</v>
      </c>
      <c r="F82" s="13">
        <v>678.68</v>
      </c>
      <c r="G82" s="7">
        <f t="shared" si="0"/>
        <v>299.99999482039999</v>
      </c>
      <c r="H82" s="14" t="s">
        <v>13</v>
      </c>
      <c r="I82" s="10"/>
      <c r="J82" s="4" t="s">
        <v>93</v>
      </c>
    </row>
    <row r="83" spans="1:10" x14ac:dyDescent="0.3">
      <c r="A83" s="9" t="s">
        <v>9</v>
      </c>
      <c r="B83" s="10" t="s">
        <v>10</v>
      </c>
      <c r="C83" s="10" t="s">
        <v>11</v>
      </c>
      <c r="D83" s="11">
        <v>46183</v>
      </c>
      <c r="E83" s="12">
        <v>0.74766913999999995</v>
      </c>
      <c r="F83" s="13">
        <v>668.75</v>
      </c>
      <c r="G83" s="7">
        <f t="shared" si="0"/>
        <v>500.00373737499996</v>
      </c>
      <c r="H83" s="14" t="s">
        <v>13</v>
      </c>
      <c r="I83" s="10"/>
      <c r="J83" s="4" t="s">
        <v>93</v>
      </c>
    </row>
    <row r="84" spans="1:10" x14ac:dyDescent="0.3">
      <c r="A84" s="3" t="s">
        <v>42</v>
      </c>
      <c r="B84" s="4" t="s">
        <v>43</v>
      </c>
      <c r="C84" s="4" t="s">
        <v>11</v>
      </c>
      <c r="D84" s="5">
        <v>46188</v>
      </c>
      <c r="E84" s="6">
        <v>47.189399369999997</v>
      </c>
      <c r="F84" s="7">
        <v>10.6</v>
      </c>
      <c r="G84" s="7">
        <f t="shared" si="0"/>
        <v>500.20763332199994</v>
      </c>
      <c r="H84" s="8" t="s">
        <v>13</v>
      </c>
      <c r="I84" s="4"/>
      <c r="J84" s="4" t="s">
        <v>14</v>
      </c>
    </row>
    <row r="85" spans="1:10" x14ac:dyDescent="0.3">
      <c r="A85" s="9" t="s">
        <v>9</v>
      </c>
      <c r="B85" s="10" t="s">
        <v>10</v>
      </c>
      <c r="C85" s="10" t="s">
        <v>11</v>
      </c>
      <c r="D85" s="11">
        <v>46190</v>
      </c>
      <c r="E85" s="12">
        <v>0.72836405000000004</v>
      </c>
      <c r="F85" s="13">
        <v>686.47</v>
      </c>
      <c r="G85" s="7">
        <f t="shared" si="0"/>
        <v>500.00006940350005</v>
      </c>
      <c r="H85" s="14" t="s">
        <v>13</v>
      </c>
      <c r="I85" s="10"/>
      <c r="J85" s="4" t="s">
        <v>93</v>
      </c>
    </row>
    <row r="86" spans="1:10" x14ac:dyDescent="0.3">
      <c r="A86" s="20" t="s">
        <v>186</v>
      </c>
      <c r="B86" s="20" t="s">
        <v>187</v>
      </c>
      <c r="C86" s="20" t="s">
        <v>188</v>
      </c>
      <c r="D86" s="11" t="s">
        <v>189</v>
      </c>
      <c r="E86" s="21">
        <v>405</v>
      </c>
      <c r="F86" s="22">
        <v>2454</v>
      </c>
      <c r="G86" s="22">
        <v>995644</v>
      </c>
      <c r="H86" s="20" t="s">
        <v>95</v>
      </c>
      <c r="I86" s="20" t="s">
        <v>190</v>
      </c>
      <c r="J86" s="20" t="s">
        <v>191</v>
      </c>
    </row>
    <row r="87" spans="1:10" x14ac:dyDescent="0.3">
      <c r="A87" s="20" t="s">
        <v>192</v>
      </c>
      <c r="B87" s="20" t="s">
        <v>193</v>
      </c>
      <c r="C87" s="20" t="s">
        <v>188</v>
      </c>
      <c r="D87" s="11" t="s">
        <v>194</v>
      </c>
      <c r="E87" s="21">
        <v>1534</v>
      </c>
      <c r="F87" s="22">
        <v>1304</v>
      </c>
      <c r="G87" s="22">
        <v>2004367</v>
      </c>
      <c r="H87" s="20" t="s">
        <v>95</v>
      </c>
      <c r="I87" s="20" t="s">
        <v>195</v>
      </c>
      <c r="J87" s="20" t="s">
        <v>191</v>
      </c>
    </row>
    <row r="88" spans="1:10" x14ac:dyDescent="0.3">
      <c r="A88" s="20" t="s">
        <v>196</v>
      </c>
      <c r="B88" s="20" t="s">
        <v>197</v>
      </c>
      <c r="C88" s="20" t="s">
        <v>188</v>
      </c>
      <c r="D88" s="11" t="s">
        <v>194</v>
      </c>
      <c r="E88" s="21">
        <v>1266</v>
      </c>
      <c r="F88" s="22">
        <v>790</v>
      </c>
      <c r="G88" s="22">
        <v>1001520</v>
      </c>
      <c r="H88" s="20" t="s">
        <v>95</v>
      </c>
      <c r="I88" s="20" t="s">
        <v>195</v>
      </c>
      <c r="J88" s="20" t="s">
        <v>191</v>
      </c>
    </row>
    <row r="89" spans="1:10" x14ac:dyDescent="0.3">
      <c r="A89" s="20" t="s">
        <v>198</v>
      </c>
      <c r="B89" s="20" t="s">
        <v>199</v>
      </c>
      <c r="C89" s="20" t="s">
        <v>188</v>
      </c>
      <c r="D89" s="11" t="s">
        <v>194</v>
      </c>
      <c r="E89" s="21">
        <v>10112</v>
      </c>
      <c r="F89" s="22">
        <v>99</v>
      </c>
      <c r="G89" s="22">
        <v>1001761</v>
      </c>
      <c r="H89" s="20" t="s">
        <v>95</v>
      </c>
      <c r="I89" s="20" t="s">
        <v>195</v>
      </c>
      <c r="J89" s="20" t="s">
        <v>191</v>
      </c>
    </row>
    <row r="90" spans="1:10" x14ac:dyDescent="0.3">
      <c r="A90" s="20" t="s">
        <v>192</v>
      </c>
      <c r="B90" s="20" t="s">
        <v>193</v>
      </c>
      <c r="C90" s="20" t="s">
        <v>188</v>
      </c>
      <c r="D90" s="11" t="s">
        <v>194</v>
      </c>
      <c r="E90" s="21">
        <v>564</v>
      </c>
      <c r="F90" s="22">
        <v>1304</v>
      </c>
      <c r="G90" s="22">
        <v>736938</v>
      </c>
      <c r="H90" s="20" t="s">
        <v>95</v>
      </c>
      <c r="I90" s="20" t="s">
        <v>195</v>
      </c>
      <c r="J90" s="20" t="s">
        <v>191</v>
      </c>
    </row>
    <row r="91" spans="1:10" x14ac:dyDescent="0.3">
      <c r="A91" s="20" t="s">
        <v>192</v>
      </c>
      <c r="B91" s="20" t="s">
        <v>193</v>
      </c>
      <c r="C91" s="20" t="s">
        <v>188</v>
      </c>
      <c r="D91" s="11" t="s">
        <v>200</v>
      </c>
      <c r="E91" s="21">
        <v>750</v>
      </c>
      <c r="F91" s="22">
        <v>1326</v>
      </c>
      <c r="G91" s="22">
        <v>996200</v>
      </c>
      <c r="H91" s="20" t="s">
        <v>95</v>
      </c>
      <c r="I91" s="20" t="s">
        <v>195</v>
      </c>
      <c r="J91" s="20" t="s">
        <v>191</v>
      </c>
    </row>
    <row r="92" spans="1:10" x14ac:dyDescent="0.3">
      <c r="A92" s="20" t="s">
        <v>101</v>
      </c>
      <c r="B92" s="20" t="s">
        <v>102</v>
      </c>
      <c r="C92" s="20" t="s">
        <v>188</v>
      </c>
      <c r="D92" s="11" t="s">
        <v>200</v>
      </c>
      <c r="E92" s="21">
        <v>635</v>
      </c>
      <c r="F92" s="22">
        <v>3143</v>
      </c>
      <c r="G92" s="22">
        <v>1999305</v>
      </c>
      <c r="H92" s="20" t="s">
        <v>95</v>
      </c>
      <c r="I92" s="20" t="s">
        <v>195</v>
      </c>
      <c r="J92" s="20" t="s">
        <v>191</v>
      </c>
    </row>
    <row r="93" spans="1:10" x14ac:dyDescent="0.3">
      <c r="A93" s="20" t="s">
        <v>91</v>
      </c>
      <c r="B93" s="20" t="s">
        <v>92</v>
      </c>
      <c r="C93" s="20" t="s">
        <v>188</v>
      </c>
      <c r="D93" s="11" t="s">
        <v>201</v>
      </c>
      <c r="E93" s="21">
        <v>426</v>
      </c>
      <c r="F93" s="22">
        <v>2335</v>
      </c>
      <c r="G93" s="22">
        <v>996485</v>
      </c>
      <c r="H93" s="20" t="s">
        <v>95</v>
      </c>
      <c r="I93" s="20" t="s">
        <v>195</v>
      </c>
      <c r="J93" s="20" t="s">
        <v>191</v>
      </c>
    </row>
    <row r="94" spans="1:10" x14ac:dyDescent="0.3">
      <c r="A94" s="20" t="s">
        <v>202</v>
      </c>
      <c r="B94" s="20" t="s">
        <v>203</v>
      </c>
      <c r="C94" s="20" t="s">
        <v>188</v>
      </c>
      <c r="D94" s="11" t="s">
        <v>204</v>
      </c>
      <c r="E94" s="21">
        <v>148</v>
      </c>
      <c r="F94" s="22">
        <v>20180</v>
      </c>
      <c r="G94" s="22">
        <v>3004366</v>
      </c>
      <c r="H94" s="20" t="s">
        <v>95</v>
      </c>
      <c r="I94" s="20" t="s">
        <v>205</v>
      </c>
      <c r="J94" s="20" t="s">
        <v>191</v>
      </c>
    </row>
    <row r="95" spans="1:10" x14ac:dyDescent="0.3">
      <c r="A95" s="20" t="s">
        <v>192</v>
      </c>
      <c r="B95" s="20" t="s">
        <v>193</v>
      </c>
      <c r="C95" s="20" t="s">
        <v>188</v>
      </c>
      <c r="D95" s="11" t="s">
        <v>204</v>
      </c>
      <c r="E95" s="21">
        <v>774</v>
      </c>
      <c r="F95" s="22">
        <v>1343</v>
      </c>
      <c r="G95" s="22">
        <v>1041260</v>
      </c>
      <c r="H95" s="20" t="s">
        <v>95</v>
      </c>
      <c r="I95" s="20" t="s">
        <v>195</v>
      </c>
      <c r="J95" s="20" t="s">
        <v>191</v>
      </c>
    </row>
    <row r="96" spans="1:10" x14ac:dyDescent="0.3">
      <c r="A96" s="20" t="s">
        <v>192</v>
      </c>
      <c r="B96" s="20" t="s">
        <v>193</v>
      </c>
      <c r="C96" s="20" t="s">
        <v>188</v>
      </c>
      <c r="D96" s="11" t="s">
        <v>16</v>
      </c>
      <c r="E96" s="21">
        <v>2210</v>
      </c>
      <c r="F96" s="22">
        <v>1355</v>
      </c>
      <c r="G96" s="22">
        <v>2995434</v>
      </c>
      <c r="H96" s="20" t="s">
        <v>95</v>
      </c>
      <c r="I96" s="20"/>
      <c r="J96" s="20" t="s">
        <v>191</v>
      </c>
    </row>
    <row r="97" spans="1:10" x14ac:dyDescent="0.3">
      <c r="A97" s="20" t="s">
        <v>206</v>
      </c>
      <c r="B97" s="20" t="s">
        <v>207</v>
      </c>
      <c r="C97" s="20" t="s">
        <v>188</v>
      </c>
      <c r="D97" s="11" t="s">
        <v>16</v>
      </c>
      <c r="E97" s="21">
        <v>936</v>
      </c>
      <c r="F97" s="22">
        <v>45</v>
      </c>
      <c r="G97" s="22">
        <v>41727</v>
      </c>
      <c r="H97" s="20" t="s">
        <v>95</v>
      </c>
      <c r="I97" s="20"/>
      <c r="J97" s="20" t="s">
        <v>191</v>
      </c>
    </row>
    <row r="98" spans="1:10" x14ac:dyDescent="0.3">
      <c r="A98" s="20" t="s">
        <v>206</v>
      </c>
      <c r="B98" s="20" t="s">
        <v>207</v>
      </c>
      <c r="C98" s="20" t="s">
        <v>188</v>
      </c>
      <c r="D98" s="11" t="s">
        <v>16</v>
      </c>
      <c r="E98" s="21">
        <v>21494</v>
      </c>
      <c r="F98" s="22">
        <v>45</v>
      </c>
      <c r="G98" s="22">
        <v>958203</v>
      </c>
      <c r="H98" s="20" t="s">
        <v>95</v>
      </c>
      <c r="I98" s="20"/>
      <c r="J98" s="20" t="s">
        <v>191</v>
      </c>
    </row>
    <row r="99" spans="1:10" x14ac:dyDescent="0.3">
      <c r="A99" s="20" t="s">
        <v>91</v>
      </c>
      <c r="B99" s="20" t="s">
        <v>92</v>
      </c>
      <c r="C99" s="20" t="s">
        <v>188</v>
      </c>
      <c r="D99" s="11" t="s">
        <v>16</v>
      </c>
      <c r="E99" s="21">
        <v>137</v>
      </c>
      <c r="F99" s="22">
        <v>2213</v>
      </c>
      <c r="G99" s="22">
        <v>303208</v>
      </c>
      <c r="H99" s="20" t="s">
        <v>95</v>
      </c>
      <c r="I99" s="20"/>
      <c r="J99" s="20" t="s">
        <v>191</v>
      </c>
    </row>
    <row r="100" spans="1:10" x14ac:dyDescent="0.3">
      <c r="A100" s="20" t="s">
        <v>192</v>
      </c>
      <c r="B100" s="20" t="s">
        <v>193</v>
      </c>
      <c r="C100" s="20" t="s">
        <v>188</v>
      </c>
      <c r="D100" s="11" t="s">
        <v>208</v>
      </c>
      <c r="E100" s="21">
        <v>3546</v>
      </c>
      <c r="F100" s="22">
        <v>1410</v>
      </c>
      <c r="G100" s="22">
        <v>5007719</v>
      </c>
      <c r="H100" s="20" t="s">
        <v>95</v>
      </c>
      <c r="I100" s="20" t="s">
        <v>195</v>
      </c>
      <c r="J100" s="20" t="s">
        <v>191</v>
      </c>
    </row>
    <row r="101" spans="1:10" x14ac:dyDescent="0.3">
      <c r="A101" s="20" t="s">
        <v>91</v>
      </c>
      <c r="B101" s="20" t="s">
        <v>92</v>
      </c>
      <c r="C101" s="20" t="s">
        <v>188</v>
      </c>
      <c r="D101" s="11" t="s">
        <v>209</v>
      </c>
      <c r="E101" s="21">
        <v>600</v>
      </c>
      <c r="F101" s="22">
        <v>2608</v>
      </c>
      <c r="G101" s="22">
        <v>1567834</v>
      </c>
      <c r="H101" s="20" t="s">
        <v>95</v>
      </c>
      <c r="I101" s="20" t="s">
        <v>195</v>
      </c>
      <c r="J101" s="20" t="s">
        <v>191</v>
      </c>
    </row>
    <row r="102" spans="1:10" x14ac:dyDescent="0.3">
      <c r="A102" s="20" t="s">
        <v>192</v>
      </c>
      <c r="B102" s="20" t="s">
        <v>193</v>
      </c>
      <c r="C102" s="20" t="s">
        <v>188</v>
      </c>
      <c r="D102" s="11" t="s">
        <v>209</v>
      </c>
      <c r="E102" s="21">
        <v>999</v>
      </c>
      <c r="F102" s="22">
        <v>1427</v>
      </c>
      <c r="G102" s="22">
        <v>1428117</v>
      </c>
      <c r="H102" s="20" t="s">
        <v>95</v>
      </c>
      <c r="I102" s="20" t="s">
        <v>195</v>
      </c>
      <c r="J102" s="20" t="s">
        <v>191</v>
      </c>
    </row>
    <row r="103" spans="1:10" x14ac:dyDescent="0.3">
      <c r="A103" s="20" t="s">
        <v>192</v>
      </c>
      <c r="B103" s="20" t="s">
        <v>193</v>
      </c>
      <c r="C103" s="20" t="s">
        <v>188</v>
      </c>
      <c r="D103" s="11" t="s">
        <v>210</v>
      </c>
      <c r="E103" s="21">
        <v>25</v>
      </c>
      <c r="F103" s="22">
        <v>1459</v>
      </c>
      <c r="G103" s="22">
        <v>36475</v>
      </c>
      <c r="H103" s="20" t="s">
        <v>95</v>
      </c>
      <c r="I103" s="20"/>
      <c r="J103" s="20" t="s">
        <v>191</v>
      </c>
    </row>
    <row r="104" spans="1:10" x14ac:dyDescent="0.3">
      <c r="A104" s="20" t="s">
        <v>91</v>
      </c>
      <c r="B104" s="20" t="s">
        <v>92</v>
      </c>
      <c r="C104" s="20" t="s">
        <v>188</v>
      </c>
      <c r="D104" s="11" t="s">
        <v>210</v>
      </c>
      <c r="E104" s="21">
        <v>285</v>
      </c>
      <c r="F104" s="22">
        <v>2574</v>
      </c>
      <c r="G104" s="22">
        <v>733562</v>
      </c>
      <c r="H104" s="20" t="s">
        <v>95</v>
      </c>
      <c r="I104" s="20"/>
      <c r="J104" s="20" t="s">
        <v>191</v>
      </c>
    </row>
    <row r="105" spans="1:10" x14ac:dyDescent="0.3">
      <c r="A105" s="20" t="s">
        <v>192</v>
      </c>
      <c r="B105" s="20" t="s">
        <v>193</v>
      </c>
      <c r="C105" s="20" t="s">
        <v>188</v>
      </c>
      <c r="D105" s="11" t="s">
        <v>210</v>
      </c>
      <c r="E105" s="21">
        <v>662</v>
      </c>
      <c r="F105" s="22">
        <v>1459</v>
      </c>
      <c r="G105" s="22">
        <v>966123</v>
      </c>
      <c r="H105" s="20" t="s">
        <v>95</v>
      </c>
      <c r="I105" s="20"/>
      <c r="J105" s="20" t="s">
        <v>191</v>
      </c>
    </row>
    <row r="106" spans="1:10" x14ac:dyDescent="0.3">
      <c r="A106" s="20" t="s">
        <v>211</v>
      </c>
      <c r="B106" s="20" t="s">
        <v>212</v>
      </c>
      <c r="C106" s="20" t="s">
        <v>188</v>
      </c>
      <c r="D106" s="11" t="s">
        <v>213</v>
      </c>
      <c r="E106" s="21">
        <v>35424</v>
      </c>
      <c r="F106" s="22">
        <v>21</v>
      </c>
      <c r="G106" s="22">
        <v>760846</v>
      </c>
      <c r="H106" s="20" t="s">
        <v>95</v>
      </c>
      <c r="I106" s="20" t="s">
        <v>195</v>
      </c>
      <c r="J106" s="20" t="s">
        <v>191</v>
      </c>
    </row>
    <row r="107" spans="1:10" x14ac:dyDescent="0.3">
      <c r="A107" s="20" t="s">
        <v>211</v>
      </c>
      <c r="B107" s="20" t="s">
        <v>212</v>
      </c>
      <c r="C107" s="20" t="s">
        <v>188</v>
      </c>
      <c r="D107" s="11" t="s">
        <v>213</v>
      </c>
      <c r="E107" s="21">
        <v>63697</v>
      </c>
      <c r="F107" s="22">
        <v>21</v>
      </c>
      <c r="G107" s="22">
        <v>1368101</v>
      </c>
      <c r="H107" s="20" t="s">
        <v>95</v>
      </c>
      <c r="I107" s="20" t="s">
        <v>195</v>
      </c>
      <c r="J107" s="20" t="s">
        <v>191</v>
      </c>
    </row>
    <row r="108" spans="1:10" x14ac:dyDescent="0.3">
      <c r="A108" s="20" t="s">
        <v>211</v>
      </c>
      <c r="B108" s="20" t="s">
        <v>212</v>
      </c>
      <c r="C108" s="20" t="s">
        <v>188</v>
      </c>
      <c r="D108" s="11" t="s">
        <v>213</v>
      </c>
      <c r="E108" s="21">
        <v>42879</v>
      </c>
      <c r="F108" s="22">
        <v>21</v>
      </c>
      <c r="G108" s="22">
        <v>920967</v>
      </c>
      <c r="H108" s="20" t="s">
        <v>95</v>
      </c>
      <c r="I108" s="20" t="s">
        <v>195</v>
      </c>
      <c r="J108" s="20" t="s">
        <v>191</v>
      </c>
    </row>
    <row r="109" spans="1:10" x14ac:dyDescent="0.3">
      <c r="A109" s="20" t="s">
        <v>214</v>
      </c>
      <c r="B109" s="20" t="s">
        <v>215</v>
      </c>
      <c r="C109" s="20" t="s">
        <v>188</v>
      </c>
      <c r="D109" s="11" t="s">
        <v>87</v>
      </c>
      <c r="E109" s="21">
        <v>476</v>
      </c>
      <c r="F109" s="22">
        <v>6285</v>
      </c>
      <c r="G109" s="22">
        <v>2997000</v>
      </c>
      <c r="H109" s="20" t="s">
        <v>95</v>
      </c>
      <c r="I109" s="20" t="s">
        <v>216</v>
      </c>
      <c r="J109" s="20" t="s">
        <v>191</v>
      </c>
    </row>
    <row r="110" spans="1:10" x14ac:dyDescent="0.3">
      <c r="A110" s="20" t="s">
        <v>211</v>
      </c>
      <c r="B110" s="20" t="s">
        <v>212</v>
      </c>
      <c r="C110" s="20" t="s">
        <v>188</v>
      </c>
      <c r="D110" s="11">
        <v>46126</v>
      </c>
      <c r="E110" s="21">
        <v>3900</v>
      </c>
      <c r="F110">
        <f>+G110/E110</f>
        <v>23.942820512820514</v>
      </c>
      <c r="G110" s="22">
        <v>93377</v>
      </c>
      <c r="H110" s="20" t="s">
        <v>95</v>
      </c>
    </row>
    <row r="111" spans="1:10" x14ac:dyDescent="0.3">
      <c r="A111" s="20" t="s">
        <v>211</v>
      </c>
      <c r="B111" s="20" t="s">
        <v>212</v>
      </c>
      <c r="C111" s="20" t="s">
        <v>188</v>
      </c>
      <c r="D111" s="11">
        <v>46126</v>
      </c>
      <c r="E111" s="21">
        <v>4111</v>
      </c>
      <c r="F111">
        <f t="shared" ref="F111:F112" si="1">+G111/E111</f>
        <v>23.942593043055219</v>
      </c>
      <c r="G111" s="22">
        <v>98428</v>
      </c>
      <c r="H111" s="20" t="s">
        <v>95</v>
      </c>
    </row>
    <row r="112" spans="1:10" x14ac:dyDescent="0.3">
      <c r="A112" s="20" t="s">
        <v>211</v>
      </c>
      <c r="B112" s="20" t="s">
        <v>212</v>
      </c>
      <c r="C112" s="20" t="s">
        <v>188</v>
      </c>
      <c r="D112" s="11">
        <v>46126</v>
      </c>
      <c r="E112" s="21">
        <v>120489</v>
      </c>
      <c r="F112">
        <f t="shared" si="1"/>
        <v>23.942666965449128</v>
      </c>
      <c r="G112" s="22">
        <v>2884828</v>
      </c>
      <c r="H112" s="20" t="s">
        <v>95</v>
      </c>
    </row>
    <row r="113" spans="1:8" x14ac:dyDescent="0.3">
      <c r="A113" s="20" t="s">
        <v>217</v>
      </c>
      <c r="B113" s="20" t="s">
        <v>218</v>
      </c>
      <c r="C113" s="20" t="s">
        <v>188</v>
      </c>
      <c r="D113" s="11">
        <v>46160</v>
      </c>
      <c r="E113" s="21">
        <v>483</v>
      </c>
      <c r="F113">
        <f>+G113/E113</f>
        <v>6290</v>
      </c>
      <c r="G113" s="22">
        <v>3038070</v>
      </c>
      <c r="H113" s="20" t="s">
        <v>95</v>
      </c>
    </row>
    <row r="114" spans="1:8" x14ac:dyDescent="0.3">
      <c r="D114" s="11"/>
    </row>
  </sheetData>
  <autoFilter ref="A1:J113" xr:uid="{00000000-0001-0000-0000-000000000000}">
    <sortState xmlns:xlrd2="http://schemas.microsoft.com/office/spreadsheetml/2017/richdata2" ref="A2:J70">
      <sortCondition ref="D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45"/>
  <sheetViews>
    <sheetView zoomScaleNormal="100" workbookViewId="0">
      <pane ySplit="2" topLeftCell="A13" activePane="bottomLeft" state="frozen"/>
      <selection pane="bottomLeft" activeCell="G49" sqref="G49"/>
    </sheetView>
  </sheetViews>
  <sheetFormatPr baseColWidth="10" defaultColWidth="8.6640625" defaultRowHeight="14.4" x14ac:dyDescent="0.3"/>
  <cols>
    <col min="1" max="1" width="10" customWidth="1"/>
    <col min="2" max="2" width="28" customWidth="1"/>
    <col min="3" max="3" width="20" customWidth="1"/>
    <col min="4" max="4" width="12" customWidth="1"/>
    <col min="5" max="5" width="14" customWidth="1"/>
    <col min="6" max="6" width="12" customWidth="1"/>
    <col min="7" max="7" width="16" customWidth="1"/>
    <col min="8" max="8" width="12" customWidth="1"/>
    <col min="9" max="9" width="30" customWidth="1"/>
  </cols>
  <sheetData>
    <row r="1" spans="1: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5</v>
      </c>
      <c r="G1" s="1" t="s">
        <v>107</v>
      </c>
      <c r="H1" s="1" t="s">
        <v>108</v>
      </c>
      <c r="I1" s="1" t="s">
        <v>7</v>
      </c>
    </row>
    <row r="2" spans="1:9" hidden="1" x14ac:dyDescent="0.3">
      <c r="A2" s="3" t="s">
        <v>101</v>
      </c>
      <c r="B2" s="4" t="s">
        <v>102</v>
      </c>
      <c r="C2" s="4" t="s">
        <v>93</v>
      </c>
      <c r="D2" s="5" t="s">
        <v>99</v>
      </c>
      <c r="E2" s="6"/>
      <c r="F2" s="7"/>
      <c r="G2" s="15">
        <v>305000</v>
      </c>
      <c r="H2" s="8" t="s">
        <v>95</v>
      </c>
      <c r="I2" s="4" t="s">
        <v>140</v>
      </c>
    </row>
    <row r="3" spans="1:9" hidden="1" x14ac:dyDescent="0.3">
      <c r="A3" s="9" t="s">
        <v>101</v>
      </c>
      <c r="B3" s="10" t="s">
        <v>102</v>
      </c>
      <c r="C3" s="10" t="s">
        <v>93</v>
      </c>
      <c r="D3" s="11" t="s">
        <v>141</v>
      </c>
      <c r="E3" s="12"/>
      <c r="F3" s="13"/>
      <c r="G3" s="16">
        <v>1559098</v>
      </c>
      <c r="H3" s="14" t="s">
        <v>95</v>
      </c>
      <c r="I3" s="10" t="s">
        <v>142</v>
      </c>
    </row>
    <row r="4" spans="1:9" hidden="1" x14ac:dyDescent="0.3">
      <c r="A4" s="9" t="s">
        <v>119</v>
      </c>
      <c r="B4" s="10" t="s">
        <v>120</v>
      </c>
      <c r="C4" s="10" t="s">
        <v>11</v>
      </c>
      <c r="D4" s="11" t="s">
        <v>121</v>
      </c>
      <c r="E4" s="12">
        <v>167.28</v>
      </c>
      <c r="F4" s="13">
        <v>3.09</v>
      </c>
      <c r="G4" s="13">
        <v>517.09</v>
      </c>
      <c r="H4" s="14" t="s">
        <v>109</v>
      </c>
      <c r="I4" s="10" t="s">
        <v>110</v>
      </c>
    </row>
    <row r="5" spans="1:9" hidden="1" x14ac:dyDescent="0.3">
      <c r="A5" s="3" t="s">
        <v>53</v>
      </c>
      <c r="B5" s="4" t="s">
        <v>54</v>
      </c>
      <c r="C5" s="4" t="s">
        <v>11</v>
      </c>
      <c r="D5" s="5" t="s">
        <v>113</v>
      </c>
      <c r="E5" s="6">
        <v>3.6033317</v>
      </c>
      <c r="F5" s="7">
        <v>121.96</v>
      </c>
      <c r="G5" s="7">
        <f>+F5*E5</f>
        <v>439.46233413199997</v>
      </c>
      <c r="H5" s="8" t="s">
        <v>109</v>
      </c>
      <c r="I5" s="4" t="s">
        <v>110</v>
      </c>
    </row>
    <row r="6" spans="1:9" hidden="1" x14ac:dyDescent="0.3">
      <c r="A6" s="3" t="s">
        <v>116</v>
      </c>
      <c r="B6" s="4" t="s">
        <v>117</v>
      </c>
      <c r="C6" s="4" t="s">
        <v>11</v>
      </c>
      <c r="D6" s="5" t="s">
        <v>118</v>
      </c>
      <c r="E6" s="6">
        <v>35</v>
      </c>
      <c r="F6" s="7">
        <v>20.71</v>
      </c>
      <c r="G6" s="7">
        <v>724.93</v>
      </c>
      <c r="H6" s="8" t="s">
        <v>109</v>
      </c>
      <c r="I6" s="4"/>
    </row>
    <row r="7" spans="1:9" hidden="1" x14ac:dyDescent="0.3">
      <c r="A7" s="9" t="s">
        <v>91</v>
      </c>
      <c r="B7" s="10" t="s">
        <v>92</v>
      </c>
      <c r="C7" s="10" t="s">
        <v>93</v>
      </c>
      <c r="D7" s="11" t="s">
        <v>138</v>
      </c>
      <c r="E7" s="12"/>
      <c r="F7" s="13"/>
      <c r="G7" s="16">
        <v>4562202</v>
      </c>
      <c r="H7" s="14" t="s">
        <v>95</v>
      </c>
      <c r="I7" s="10" t="s">
        <v>139</v>
      </c>
    </row>
    <row r="8" spans="1:9" hidden="1" x14ac:dyDescent="0.3">
      <c r="A8" s="3" t="s">
        <v>129</v>
      </c>
      <c r="B8" s="4" t="s">
        <v>130</v>
      </c>
      <c r="C8" s="4" t="s">
        <v>11</v>
      </c>
      <c r="D8" s="5" t="s">
        <v>67</v>
      </c>
      <c r="E8" s="6">
        <v>10.64</v>
      </c>
      <c r="F8" s="7">
        <v>40.07</v>
      </c>
      <c r="G8" s="7">
        <v>426.3</v>
      </c>
      <c r="H8" s="8" t="s">
        <v>109</v>
      </c>
      <c r="I8" s="4"/>
    </row>
    <row r="9" spans="1:9" hidden="1" x14ac:dyDescent="0.3">
      <c r="A9" s="3" t="s">
        <v>119</v>
      </c>
      <c r="B9" s="4" t="s">
        <v>120</v>
      </c>
      <c r="C9" s="4" t="s">
        <v>11</v>
      </c>
      <c r="D9" s="5" t="s">
        <v>122</v>
      </c>
      <c r="E9" s="6">
        <v>219.33</v>
      </c>
      <c r="F9" s="7">
        <v>3.94</v>
      </c>
      <c r="G9" s="7">
        <v>864.42</v>
      </c>
      <c r="H9" s="8" t="s">
        <v>109</v>
      </c>
      <c r="I9" s="4"/>
    </row>
    <row r="10" spans="1:9" hidden="1" x14ac:dyDescent="0.3">
      <c r="A10" s="3" t="s">
        <v>125</v>
      </c>
      <c r="B10" s="4" t="s">
        <v>126</v>
      </c>
      <c r="C10" s="4" t="s">
        <v>11</v>
      </c>
      <c r="D10" s="5" t="s">
        <v>48</v>
      </c>
      <c r="E10" s="6">
        <v>18.86</v>
      </c>
      <c r="F10" s="7">
        <v>51.94</v>
      </c>
      <c r="G10" s="7">
        <v>979.59</v>
      </c>
      <c r="H10" s="8" t="s">
        <v>109</v>
      </c>
      <c r="I10" s="4"/>
    </row>
    <row r="11" spans="1:9" hidden="1" x14ac:dyDescent="0.3">
      <c r="A11" s="9" t="s">
        <v>45</v>
      </c>
      <c r="B11" s="10" t="s">
        <v>46</v>
      </c>
      <c r="C11" s="10" t="s">
        <v>11</v>
      </c>
      <c r="D11" s="11" t="s">
        <v>61</v>
      </c>
      <c r="E11" s="12">
        <v>359</v>
      </c>
      <c r="F11" s="13">
        <v>5.64</v>
      </c>
      <c r="G11" s="13">
        <v>2025.19</v>
      </c>
      <c r="H11" s="14" t="s">
        <v>111</v>
      </c>
      <c r="I11" s="10" t="s">
        <v>112</v>
      </c>
    </row>
    <row r="12" spans="1:9" hidden="1" x14ac:dyDescent="0.3">
      <c r="A12" s="3" t="s">
        <v>45</v>
      </c>
      <c r="B12" s="4" t="s">
        <v>46</v>
      </c>
      <c r="C12" s="4" t="s">
        <v>11</v>
      </c>
      <c r="D12" s="5" t="s">
        <v>61</v>
      </c>
      <c r="E12" s="6">
        <v>0.20893</v>
      </c>
      <c r="F12" s="7">
        <v>5.65</v>
      </c>
      <c r="G12" s="7">
        <v>1.18</v>
      </c>
      <c r="H12" s="8" t="s">
        <v>109</v>
      </c>
      <c r="I12" s="4"/>
    </row>
    <row r="13" spans="1:9" x14ac:dyDescent="0.3">
      <c r="A13" s="9" t="s">
        <v>88</v>
      </c>
      <c r="B13" s="10" t="s">
        <v>89</v>
      </c>
      <c r="C13" s="10" t="s">
        <v>11</v>
      </c>
      <c r="D13" s="11" t="s">
        <v>61</v>
      </c>
      <c r="E13" s="12">
        <v>8.3000000000000007</v>
      </c>
      <c r="F13" s="13">
        <v>119.51</v>
      </c>
      <c r="G13" s="13">
        <v>991.63</v>
      </c>
      <c r="H13" s="14" t="s">
        <v>109</v>
      </c>
      <c r="I13" s="10" t="s">
        <v>110</v>
      </c>
    </row>
    <row r="14" spans="1:9" hidden="1" x14ac:dyDescent="0.3">
      <c r="A14" s="9" t="s">
        <v>45</v>
      </c>
      <c r="B14" s="10" t="s">
        <v>46</v>
      </c>
      <c r="C14" s="10" t="s">
        <v>11</v>
      </c>
      <c r="D14" s="11" t="s">
        <v>49</v>
      </c>
      <c r="E14" s="12">
        <v>264.87</v>
      </c>
      <c r="F14" s="13">
        <v>9.0500000000000007</v>
      </c>
      <c r="G14" s="13">
        <v>2397.4</v>
      </c>
      <c r="H14" s="14" t="s">
        <v>109</v>
      </c>
      <c r="I14" s="10"/>
    </row>
    <row r="15" spans="1:9" hidden="1" x14ac:dyDescent="0.3">
      <c r="A15" s="9" t="s">
        <v>114</v>
      </c>
      <c r="B15" s="10" t="s">
        <v>115</v>
      </c>
      <c r="C15" s="10" t="s">
        <v>11</v>
      </c>
      <c r="D15" s="11" t="s">
        <v>50</v>
      </c>
      <c r="E15" s="12">
        <v>3.6690999999999998</v>
      </c>
      <c r="F15" s="13">
        <v>181.11</v>
      </c>
      <c r="G15" s="13">
        <v>664.5</v>
      </c>
      <c r="H15" s="14" t="s">
        <v>109</v>
      </c>
      <c r="I15" s="10"/>
    </row>
    <row r="16" spans="1:9" hidden="1" x14ac:dyDescent="0.3">
      <c r="A16" s="3" t="s">
        <v>114</v>
      </c>
      <c r="B16" s="4" t="s">
        <v>115</v>
      </c>
      <c r="C16" s="4" t="s">
        <v>11</v>
      </c>
      <c r="D16" s="5" t="s">
        <v>50</v>
      </c>
      <c r="E16" s="6">
        <v>2.7631000000000001</v>
      </c>
      <c r="F16" s="7">
        <v>181.23</v>
      </c>
      <c r="G16" s="7">
        <v>500.75</v>
      </c>
      <c r="H16" s="8" t="s">
        <v>109</v>
      </c>
      <c r="I16" s="4"/>
    </row>
    <row r="17" spans="1:9" hidden="1" x14ac:dyDescent="0.3">
      <c r="A17" s="9" t="s">
        <v>114</v>
      </c>
      <c r="B17" s="10" t="s">
        <v>115</v>
      </c>
      <c r="C17" s="10" t="s">
        <v>11</v>
      </c>
      <c r="D17" s="11" t="s">
        <v>50</v>
      </c>
      <c r="E17" s="12">
        <v>2.7517999999999998</v>
      </c>
      <c r="F17" s="13">
        <v>181.65</v>
      </c>
      <c r="G17" s="13">
        <v>499.87</v>
      </c>
      <c r="H17" s="14" t="s">
        <v>109</v>
      </c>
      <c r="I17" s="10"/>
    </row>
    <row r="18" spans="1:9" hidden="1" x14ac:dyDescent="0.3">
      <c r="A18" s="9" t="s">
        <v>123</v>
      </c>
      <c r="B18" s="10" t="s">
        <v>124</v>
      </c>
      <c r="C18" s="10" t="s">
        <v>11</v>
      </c>
      <c r="D18" s="11" t="s">
        <v>50</v>
      </c>
      <c r="E18" s="12">
        <v>13.7</v>
      </c>
      <c r="F18" s="13">
        <v>38.14</v>
      </c>
      <c r="G18" s="13">
        <v>522.49</v>
      </c>
      <c r="H18" s="14" t="s">
        <v>109</v>
      </c>
      <c r="I18" s="10"/>
    </row>
    <row r="19" spans="1:9" hidden="1" x14ac:dyDescent="0.3">
      <c r="A19" s="9" t="s">
        <v>127</v>
      </c>
      <c r="B19" s="10" t="s">
        <v>128</v>
      </c>
      <c r="C19" s="10" t="s">
        <v>11</v>
      </c>
      <c r="D19" s="11" t="s">
        <v>80</v>
      </c>
      <c r="E19" s="12">
        <v>61.634999999999998</v>
      </c>
      <c r="F19" s="13">
        <v>24.2</v>
      </c>
      <c r="G19" s="13">
        <v>1491.72</v>
      </c>
      <c r="H19" s="14" t="s">
        <v>109</v>
      </c>
      <c r="I19" s="10"/>
    </row>
    <row r="20" spans="1:9" hidden="1" x14ac:dyDescent="0.3">
      <c r="A20" s="9" t="s">
        <v>131</v>
      </c>
      <c r="B20" s="10" t="s">
        <v>132</v>
      </c>
      <c r="C20" s="10" t="s">
        <v>11</v>
      </c>
      <c r="D20" s="11" t="s">
        <v>72</v>
      </c>
      <c r="E20" s="12">
        <v>89.68</v>
      </c>
      <c r="F20" s="13">
        <v>10.029999999999999</v>
      </c>
      <c r="G20" s="13">
        <v>899.57</v>
      </c>
      <c r="H20" s="14" t="s">
        <v>109</v>
      </c>
      <c r="I20" s="10"/>
    </row>
    <row r="21" spans="1:9" hidden="1" x14ac:dyDescent="0.3">
      <c r="A21" s="3" t="s">
        <v>133</v>
      </c>
      <c r="B21" s="4" t="s">
        <v>134</v>
      </c>
      <c r="C21" s="4" t="s">
        <v>11</v>
      </c>
      <c r="D21" s="5" t="s">
        <v>72</v>
      </c>
      <c r="E21" s="6">
        <v>3.52</v>
      </c>
      <c r="F21" s="7">
        <v>85.29</v>
      </c>
      <c r="G21" s="7">
        <v>300.14</v>
      </c>
      <c r="H21" s="8" t="s">
        <v>109</v>
      </c>
      <c r="I21" s="4" t="s">
        <v>110</v>
      </c>
    </row>
    <row r="22" spans="1:9" hidden="1" x14ac:dyDescent="0.3">
      <c r="A22" s="9" t="s">
        <v>133</v>
      </c>
      <c r="B22" s="10" t="s">
        <v>134</v>
      </c>
      <c r="C22" s="10" t="s">
        <v>11</v>
      </c>
      <c r="D22" s="5" t="s">
        <v>135</v>
      </c>
      <c r="E22" s="12">
        <v>33.58</v>
      </c>
      <c r="F22" s="13">
        <v>104.76</v>
      </c>
      <c r="G22" s="13">
        <v>3517.99</v>
      </c>
      <c r="H22" s="14" t="s">
        <v>109</v>
      </c>
      <c r="I22" s="10"/>
    </row>
    <row r="23" spans="1:9" hidden="1" x14ac:dyDescent="0.3">
      <c r="A23" s="3" t="s">
        <v>9</v>
      </c>
      <c r="B23" s="4" t="s">
        <v>10</v>
      </c>
      <c r="C23" s="4" t="s">
        <v>11</v>
      </c>
      <c r="D23" s="5" t="s">
        <v>75</v>
      </c>
      <c r="E23" s="6">
        <v>2.3698000000000001</v>
      </c>
      <c r="F23" s="7">
        <v>633.16</v>
      </c>
      <c r="G23" s="7">
        <v>1500.44</v>
      </c>
      <c r="H23" s="8" t="s">
        <v>109</v>
      </c>
      <c r="I23" s="4" t="s">
        <v>110</v>
      </c>
    </row>
    <row r="24" spans="1:9" hidden="1" x14ac:dyDescent="0.3">
      <c r="A24" s="3" t="s">
        <v>136</v>
      </c>
      <c r="B24" s="4" t="s">
        <v>137</v>
      </c>
      <c r="C24" s="4" t="s">
        <v>11</v>
      </c>
      <c r="D24" s="5" t="s">
        <v>34</v>
      </c>
      <c r="E24" s="6">
        <v>1.0958000000000001</v>
      </c>
      <c r="F24" s="7">
        <v>2331.6</v>
      </c>
      <c r="G24" s="7">
        <v>2555.04</v>
      </c>
      <c r="H24" s="8" t="s">
        <v>109</v>
      </c>
      <c r="I24" s="4"/>
    </row>
    <row r="25" spans="1:9" hidden="1" x14ac:dyDescent="0.3">
      <c r="A25" s="3" t="s">
        <v>85</v>
      </c>
      <c r="B25" s="4" t="s">
        <v>86</v>
      </c>
      <c r="C25" s="4" t="s">
        <v>11</v>
      </c>
      <c r="D25" s="5" t="s">
        <v>52</v>
      </c>
      <c r="E25" s="6">
        <v>0.62639999999999996</v>
      </c>
      <c r="F25" s="7">
        <v>637.63</v>
      </c>
      <c r="G25" s="7">
        <v>399.42</v>
      </c>
      <c r="H25" s="8" t="s">
        <v>109</v>
      </c>
      <c r="I25" s="4" t="s">
        <v>110</v>
      </c>
    </row>
    <row r="26" spans="1:9" hidden="1" x14ac:dyDescent="0.3">
      <c r="A26" s="9" t="s">
        <v>32</v>
      </c>
      <c r="B26" s="10" t="s">
        <v>33</v>
      </c>
      <c r="C26" s="4" t="s">
        <v>11</v>
      </c>
      <c r="D26" s="5">
        <v>46122</v>
      </c>
      <c r="E26" s="17">
        <v>151.02481122</v>
      </c>
      <c r="F26" s="19">
        <v>9.25</v>
      </c>
      <c r="G26" s="7">
        <f t="shared" ref="G26:G33" si="0">+F26*E26</f>
        <v>1396.9795037850001</v>
      </c>
      <c r="H26" s="8" t="s">
        <v>109</v>
      </c>
      <c r="I26" s="4" t="s">
        <v>110</v>
      </c>
    </row>
    <row r="27" spans="1:9" x14ac:dyDescent="0.3">
      <c r="A27" s="9" t="s">
        <v>88</v>
      </c>
      <c r="B27" s="10" t="s">
        <v>89</v>
      </c>
      <c r="C27" s="4" t="s">
        <v>11</v>
      </c>
      <c r="D27" s="5">
        <v>46127</v>
      </c>
      <c r="E27" s="17">
        <v>17</v>
      </c>
      <c r="F27" s="19">
        <v>120</v>
      </c>
      <c r="G27" s="7">
        <f t="shared" si="0"/>
        <v>2040</v>
      </c>
      <c r="H27" s="8" t="s">
        <v>109</v>
      </c>
      <c r="I27" s="4"/>
    </row>
    <row r="28" spans="1:9" x14ac:dyDescent="0.3">
      <c r="A28" s="9" t="s">
        <v>88</v>
      </c>
      <c r="B28" s="10" t="s">
        <v>89</v>
      </c>
      <c r="C28" s="4" t="s">
        <v>11</v>
      </c>
      <c r="D28" s="5">
        <v>46127</v>
      </c>
      <c r="E28" s="17">
        <v>0.21374826999999999</v>
      </c>
      <c r="F28" s="19">
        <v>117.57</v>
      </c>
      <c r="G28" s="7">
        <f t="shared" si="0"/>
        <v>25.130384103899999</v>
      </c>
      <c r="H28" s="8" t="s">
        <v>109</v>
      </c>
      <c r="I28" s="4"/>
    </row>
    <row r="29" spans="1:9" hidden="1" x14ac:dyDescent="0.3">
      <c r="A29" s="9" t="s">
        <v>32</v>
      </c>
      <c r="B29" s="10" t="s">
        <v>33</v>
      </c>
      <c r="C29" s="4" t="s">
        <v>11</v>
      </c>
      <c r="D29" s="5">
        <v>46161</v>
      </c>
      <c r="E29" s="17">
        <v>454.88127441300003</v>
      </c>
      <c r="F29" s="19">
        <v>10.37</v>
      </c>
      <c r="G29" s="7">
        <f t="shared" si="0"/>
        <v>4717.1188156628095</v>
      </c>
      <c r="H29" s="8" t="s">
        <v>109</v>
      </c>
      <c r="I29" s="4" t="s">
        <v>110</v>
      </c>
    </row>
    <row r="30" spans="1:9" hidden="1" x14ac:dyDescent="0.3">
      <c r="A30" s="9" t="s">
        <v>39</v>
      </c>
      <c r="B30" s="10" t="s">
        <v>40</v>
      </c>
      <c r="C30" s="4" t="s">
        <v>11</v>
      </c>
      <c r="D30" s="5">
        <v>46171</v>
      </c>
      <c r="E30" s="17">
        <v>29.74574411</v>
      </c>
      <c r="F30" s="19">
        <v>44.67</v>
      </c>
      <c r="G30" s="7">
        <f t="shared" si="0"/>
        <v>1328.7423893937</v>
      </c>
      <c r="H30" s="8" t="s">
        <v>109</v>
      </c>
      <c r="I30" s="4"/>
    </row>
    <row r="31" spans="1:9" hidden="1" x14ac:dyDescent="0.3">
      <c r="A31" s="9" t="s">
        <v>184</v>
      </c>
      <c r="B31" s="10" t="s">
        <v>185</v>
      </c>
      <c r="C31" s="4" t="s">
        <v>11</v>
      </c>
      <c r="D31" s="5">
        <v>46175</v>
      </c>
      <c r="E31" s="17">
        <v>28.1738319</v>
      </c>
      <c r="F31" s="19">
        <v>75.12</v>
      </c>
      <c r="G31" s="7">
        <f t="shared" si="0"/>
        <v>2116.4182523280001</v>
      </c>
      <c r="H31" s="8" t="s">
        <v>109</v>
      </c>
      <c r="I31" s="4"/>
    </row>
    <row r="32" spans="1:9" hidden="1" x14ac:dyDescent="0.3">
      <c r="A32" s="3" t="s">
        <v>83</v>
      </c>
      <c r="B32" s="4" t="s">
        <v>84</v>
      </c>
      <c r="C32" s="4" t="s">
        <v>11</v>
      </c>
      <c r="D32" s="5">
        <v>46177</v>
      </c>
      <c r="E32" s="17">
        <v>76.963710579999997</v>
      </c>
      <c r="F32" s="19">
        <v>23.53</v>
      </c>
      <c r="G32" s="7">
        <f t="shared" si="0"/>
        <v>1810.9561099473999</v>
      </c>
      <c r="H32" s="8" t="s">
        <v>109</v>
      </c>
      <c r="I32" s="4"/>
    </row>
    <row r="33" spans="1:9" hidden="1" x14ac:dyDescent="0.3">
      <c r="A33" s="9" t="s">
        <v>32</v>
      </c>
      <c r="B33" s="10" t="s">
        <v>33</v>
      </c>
      <c r="C33" s="4" t="s">
        <v>11</v>
      </c>
      <c r="D33" s="5">
        <v>46185</v>
      </c>
      <c r="E33" s="17">
        <v>386.91268709000002</v>
      </c>
      <c r="F33" s="19">
        <v>11.09</v>
      </c>
      <c r="G33" s="7">
        <f t="shared" si="0"/>
        <v>4290.8616998281004</v>
      </c>
      <c r="H33" s="8" t="s">
        <v>109</v>
      </c>
      <c r="I33" s="4"/>
    </row>
    <row r="34" spans="1:9" hidden="1" x14ac:dyDescent="0.3">
      <c r="A34" s="20" t="s">
        <v>186</v>
      </c>
      <c r="B34" s="20" t="s">
        <v>187</v>
      </c>
      <c r="C34" s="20" t="s">
        <v>188</v>
      </c>
      <c r="D34" s="20" t="s">
        <v>219</v>
      </c>
      <c r="E34" s="21">
        <v>405</v>
      </c>
      <c r="F34" s="22">
        <v>2838</v>
      </c>
      <c r="G34" s="22">
        <v>1147338</v>
      </c>
      <c r="H34" s="20" t="s">
        <v>109</v>
      </c>
      <c r="I34" s="20" t="s">
        <v>220</v>
      </c>
    </row>
    <row r="35" spans="1:9" hidden="1" x14ac:dyDescent="0.3">
      <c r="A35" s="20" t="s">
        <v>196</v>
      </c>
      <c r="B35" s="20" t="s">
        <v>197</v>
      </c>
      <c r="C35" s="20" t="s">
        <v>188</v>
      </c>
      <c r="D35" s="20" t="s">
        <v>16</v>
      </c>
      <c r="E35" s="21">
        <v>507</v>
      </c>
      <c r="F35" s="22">
        <v>950</v>
      </c>
      <c r="G35" s="22">
        <v>481650</v>
      </c>
      <c r="H35" s="20" t="s">
        <v>109</v>
      </c>
      <c r="I35" s="20" t="s">
        <v>110</v>
      </c>
    </row>
    <row r="36" spans="1:9" hidden="1" x14ac:dyDescent="0.3">
      <c r="A36" s="20" t="s">
        <v>196</v>
      </c>
      <c r="B36" s="20" t="s">
        <v>197</v>
      </c>
      <c r="C36" s="20" t="s">
        <v>188</v>
      </c>
      <c r="D36" s="20" t="s">
        <v>16</v>
      </c>
      <c r="E36" s="21">
        <v>5</v>
      </c>
      <c r="F36" s="22">
        <v>950</v>
      </c>
      <c r="G36" s="22">
        <v>4750</v>
      </c>
      <c r="H36" s="20" t="s">
        <v>109</v>
      </c>
      <c r="I36" s="20" t="s">
        <v>110</v>
      </c>
    </row>
    <row r="37" spans="1:9" hidden="1" x14ac:dyDescent="0.3">
      <c r="A37" s="20" t="s">
        <v>196</v>
      </c>
      <c r="B37" s="20" t="s">
        <v>197</v>
      </c>
      <c r="C37" s="20" t="s">
        <v>188</v>
      </c>
      <c r="D37" s="20" t="s">
        <v>16</v>
      </c>
      <c r="E37" s="21">
        <v>754</v>
      </c>
      <c r="F37" s="22">
        <v>950</v>
      </c>
      <c r="G37" s="22">
        <v>716300</v>
      </c>
      <c r="H37" s="20" t="s">
        <v>109</v>
      </c>
      <c r="I37" s="20" t="s">
        <v>221</v>
      </c>
    </row>
    <row r="38" spans="1:9" hidden="1" x14ac:dyDescent="0.3">
      <c r="A38" s="20" t="s">
        <v>198</v>
      </c>
      <c r="B38" s="20" t="s">
        <v>199</v>
      </c>
      <c r="C38" s="20" t="s">
        <v>188</v>
      </c>
      <c r="D38" s="20" t="s">
        <v>213</v>
      </c>
      <c r="E38" s="21">
        <v>10112</v>
      </c>
      <c r="F38" s="22">
        <v>157</v>
      </c>
      <c r="G38" s="22">
        <v>1580208</v>
      </c>
      <c r="H38" s="20" t="s">
        <v>109</v>
      </c>
      <c r="I38" s="20" t="s">
        <v>222</v>
      </c>
    </row>
    <row r="39" spans="1:9" hidden="1" x14ac:dyDescent="0.3">
      <c r="A39" s="20" t="s">
        <v>206</v>
      </c>
      <c r="B39" s="20" t="s">
        <v>207</v>
      </c>
      <c r="C39" s="20" t="s">
        <v>188</v>
      </c>
      <c r="D39" s="20" t="s">
        <v>213</v>
      </c>
      <c r="E39" s="21">
        <v>22430</v>
      </c>
      <c r="F39" s="22">
        <v>66</v>
      </c>
      <c r="G39" s="22">
        <v>1484903</v>
      </c>
      <c r="H39" s="20" t="s">
        <v>109</v>
      </c>
      <c r="I39" s="20" t="s">
        <v>223</v>
      </c>
    </row>
    <row r="40" spans="1:9" hidden="1" x14ac:dyDescent="0.3">
      <c r="A40" s="20" t="s">
        <v>211</v>
      </c>
      <c r="B40" s="20" t="s">
        <v>212</v>
      </c>
      <c r="C40" s="20" t="s">
        <v>188</v>
      </c>
      <c r="D40" s="18">
        <v>46121</v>
      </c>
      <c r="E40" s="21">
        <v>16688</v>
      </c>
      <c r="F40" s="22">
        <f>+G40/E40</f>
        <v>23.218480345158198</v>
      </c>
      <c r="G40" s="23">
        <v>387470</v>
      </c>
      <c r="H40" s="20" t="s">
        <v>109</v>
      </c>
    </row>
    <row r="41" spans="1:9" hidden="1" x14ac:dyDescent="0.3">
      <c r="A41" s="20" t="s">
        <v>211</v>
      </c>
      <c r="B41" s="20" t="s">
        <v>212</v>
      </c>
      <c r="C41" s="20" t="s">
        <v>188</v>
      </c>
      <c r="D41" s="18">
        <v>46121</v>
      </c>
      <c r="E41" s="21">
        <v>6007</v>
      </c>
      <c r="F41" s="22">
        <f t="shared" ref="F41:F42" si="1">+G41/E41</f>
        <v>23.218411852838354</v>
      </c>
      <c r="G41" s="23">
        <v>139473</v>
      </c>
      <c r="H41" s="20" t="s">
        <v>109</v>
      </c>
    </row>
    <row r="42" spans="1:9" hidden="1" x14ac:dyDescent="0.3">
      <c r="A42" s="20" t="s">
        <v>211</v>
      </c>
      <c r="B42" s="20" t="s">
        <v>212</v>
      </c>
      <c r="C42" s="20" t="s">
        <v>188</v>
      </c>
      <c r="D42" s="18">
        <v>46121</v>
      </c>
      <c r="E42" s="21">
        <v>119305</v>
      </c>
      <c r="F42" s="22">
        <f t="shared" si="1"/>
        <v>23.218473659947193</v>
      </c>
      <c r="G42" s="23">
        <v>2770080</v>
      </c>
      <c r="H42" s="20" t="s">
        <v>109</v>
      </c>
    </row>
    <row r="45" spans="1:9" x14ac:dyDescent="0.3">
      <c r="E45" s="26"/>
    </row>
  </sheetData>
  <autoFilter ref="A1:I42" xr:uid="{00000000-0001-0000-0100-000000000000}">
    <filterColumn colId="0">
      <filters>
        <filter val="CRWV"/>
      </filters>
    </filterColumn>
    <sortState xmlns:xlrd2="http://schemas.microsoft.com/office/spreadsheetml/2017/richdata2" ref="A2:I25">
      <sortCondition ref="D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"/>
  <sheetViews>
    <sheetView zoomScaleNormal="100" workbookViewId="0">
      <pane ySplit="2" topLeftCell="A85" activePane="bottomLeft" state="frozen"/>
      <selection pane="bottomLeft" activeCell="E2" sqref="E2"/>
    </sheetView>
  </sheetViews>
  <sheetFormatPr baseColWidth="10" defaultColWidth="8.6640625" defaultRowHeight="14.4" x14ac:dyDescent="0.3"/>
  <cols>
    <col min="1" max="1" width="10" customWidth="1"/>
    <col min="2" max="2" width="28" customWidth="1"/>
    <col min="3" max="3" width="20" customWidth="1"/>
    <col min="4" max="4" width="12" customWidth="1"/>
    <col min="5" max="5" width="14" customWidth="1"/>
    <col min="6" max="6" width="8" customWidth="1"/>
    <col min="7" max="7" width="30" customWidth="1"/>
  </cols>
  <sheetData>
    <row r="1" spans="1: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283</v>
      </c>
      <c r="F1" s="1" t="s">
        <v>6</v>
      </c>
      <c r="G1" s="1" t="s">
        <v>7</v>
      </c>
    </row>
    <row r="2" spans="1:7" x14ac:dyDescent="0.3">
      <c r="A2" s="9" t="s">
        <v>101</v>
      </c>
      <c r="B2" s="10" t="s">
        <v>102</v>
      </c>
      <c r="C2" s="10" t="s">
        <v>93</v>
      </c>
      <c r="D2" s="11" t="s">
        <v>172</v>
      </c>
      <c r="E2" s="16">
        <v>1894</v>
      </c>
      <c r="F2" s="14" t="s">
        <v>95</v>
      </c>
      <c r="G2" s="10"/>
    </row>
    <row r="3" spans="1:7" x14ac:dyDescent="0.3">
      <c r="A3" s="9" t="s">
        <v>101</v>
      </c>
      <c r="B3" s="10" t="s">
        <v>102</v>
      </c>
      <c r="C3" s="10" t="s">
        <v>93</v>
      </c>
      <c r="D3" s="11" t="s">
        <v>172</v>
      </c>
      <c r="E3" s="16">
        <v>100</v>
      </c>
      <c r="F3" s="14" t="s">
        <v>95</v>
      </c>
      <c r="G3" s="10"/>
    </row>
    <row r="4" spans="1:7" x14ac:dyDescent="0.3">
      <c r="A4" s="3" t="s">
        <v>101</v>
      </c>
      <c r="B4" s="4" t="s">
        <v>102</v>
      </c>
      <c r="C4" s="4" t="s">
        <v>93</v>
      </c>
      <c r="D4" s="5" t="s">
        <v>173</v>
      </c>
      <c r="E4" s="15">
        <v>1252</v>
      </c>
      <c r="F4" s="8" t="s">
        <v>95</v>
      </c>
      <c r="G4" s="4"/>
    </row>
    <row r="5" spans="1:7" x14ac:dyDescent="0.3">
      <c r="A5" s="3" t="s">
        <v>101</v>
      </c>
      <c r="B5" s="4" t="s">
        <v>102</v>
      </c>
      <c r="C5" s="4" t="s">
        <v>93</v>
      </c>
      <c r="D5" s="5" t="s">
        <v>174</v>
      </c>
      <c r="E5" s="15">
        <v>411</v>
      </c>
      <c r="F5" s="8" t="s">
        <v>95</v>
      </c>
      <c r="G5" s="4"/>
    </row>
    <row r="6" spans="1:7" x14ac:dyDescent="0.3">
      <c r="A6" s="9" t="s">
        <v>91</v>
      </c>
      <c r="B6" s="10" t="s">
        <v>92</v>
      </c>
      <c r="C6" s="10" t="s">
        <v>93</v>
      </c>
      <c r="D6" s="11" t="s">
        <v>104</v>
      </c>
      <c r="E6" s="16">
        <v>8248</v>
      </c>
      <c r="F6" s="14" t="s">
        <v>95</v>
      </c>
      <c r="G6" s="10" t="s">
        <v>170</v>
      </c>
    </row>
    <row r="7" spans="1:7" x14ac:dyDescent="0.3">
      <c r="A7" s="9" t="s">
        <v>101</v>
      </c>
      <c r="B7" s="10" t="s">
        <v>102</v>
      </c>
      <c r="C7" s="10" t="s">
        <v>93</v>
      </c>
      <c r="D7" s="11" t="s">
        <v>175</v>
      </c>
      <c r="E7" s="16">
        <v>1602</v>
      </c>
      <c r="F7" s="14" t="s">
        <v>95</v>
      </c>
      <c r="G7" s="10"/>
    </row>
    <row r="8" spans="1:7" x14ac:dyDescent="0.3">
      <c r="A8" s="3" t="s">
        <v>101</v>
      </c>
      <c r="B8" s="4" t="s">
        <v>102</v>
      </c>
      <c r="C8" s="4" t="s">
        <v>93</v>
      </c>
      <c r="D8" s="5" t="s">
        <v>176</v>
      </c>
      <c r="E8" s="15">
        <v>2531</v>
      </c>
      <c r="F8" s="8" t="s">
        <v>95</v>
      </c>
      <c r="G8" s="4"/>
    </row>
    <row r="9" spans="1:7" x14ac:dyDescent="0.3">
      <c r="A9" s="9" t="s">
        <v>101</v>
      </c>
      <c r="B9" s="10" t="s">
        <v>102</v>
      </c>
      <c r="C9" s="10" t="s">
        <v>93</v>
      </c>
      <c r="D9" s="11" t="s">
        <v>177</v>
      </c>
      <c r="E9" s="16">
        <v>2294</v>
      </c>
      <c r="F9" s="14" t="s">
        <v>95</v>
      </c>
      <c r="G9" s="10"/>
    </row>
    <row r="10" spans="1:7" x14ac:dyDescent="0.3">
      <c r="A10" s="3" t="s">
        <v>101</v>
      </c>
      <c r="B10" s="4" t="s">
        <v>102</v>
      </c>
      <c r="C10" s="4" t="s">
        <v>93</v>
      </c>
      <c r="D10" s="5" t="s">
        <v>178</v>
      </c>
      <c r="E10" s="15">
        <v>1420</v>
      </c>
      <c r="F10" s="8" t="s">
        <v>95</v>
      </c>
      <c r="G10" s="4"/>
    </row>
    <row r="11" spans="1:7" x14ac:dyDescent="0.3">
      <c r="A11" s="9" t="s">
        <v>101</v>
      </c>
      <c r="B11" s="10" t="s">
        <v>102</v>
      </c>
      <c r="C11" s="10" t="s">
        <v>93</v>
      </c>
      <c r="D11" s="11" t="s">
        <v>179</v>
      </c>
      <c r="E11" s="16">
        <v>2502</v>
      </c>
      <c r="F11" s="14" t="s">
        <v>95</v>
      </c>
      <c r="G11" s="10"/>
    </row>
    <row r="12" spans="1:7" x14ac:dyDescent="0.3">
      <c r="A12" s="3" t="s">
        <v>9</v>
      </c>
      <c r="B12" s="4" t="s">
        <v>10</v>
      </c>
      <c r="C12" s="4" t="s">
        <v>11</v>
      </c>
      <c r="D12" s="5" t="s">
        <v>143</v>
      </c>
      <c r="E12" s="7">
        <v>4.9800000000000004</v>
      </c>
      <c r="F12" s="8" t="s">
        <v>13</v>
      </c>
      <c r="G12" s="4" t="s">
        <v>144</v>
      </c>
    </row>
    <row r="13" spans="1:7" x14ac:dyDescent="0.3">
      <c r="A13" s="3" t="s">
        <v>101</v>
      </c>
      <c r="B13" s="4" t="s">
        <v>102</v>
      </c>
      <c r="C13" s="4" t="s">
        <v>93</v>
      </c>
      <c r="D13" s="5" t="s">
        <v>180</v>
      </c>
      <c r="E13" s="15">
        <v>1966</v>
      </c>
      <c r="F13" s="8" t="s">
        <v>95</v>
      </c>
      <c r="G13" s="4"/>
    </row>
    <row r="14" spans="1:7" x14ac:dyDescent="0.3">
      <c r="A14" s="9" t="s">
        <v>101</v>
      </c>
      <c r="B14" s="10" t="s">
        <v>102</v>
      </c>
      <c r="C14" s="10" t="s">
        <v>93</v>
      </c>
      <c r="D14" s="11" t="s">
        <v>181</v>
      </c>
      <c r="E14" s="16">
        <v>590</v>
      </c>
      <c r="F14" s="14" t="s">
        <v>95</v>
      </c>
      <c r="G14" s="10"/>
    </row>
    <row r="15" spans="1:7" x14ac:dyDescent="0.3">
      <c r="A15" s="9" t="s">
        <v>9</v>
      </c>
      <c r="B15" s="10" t="s">
        <v>10</v>
      </c>
      <c r="C15" s="10" t="s">
        <v>11</v>
      </c>
      <c r="D15" s="11" t="s">
        <v>145</v>
      </c>
      <c r="E15" s="13">
        <v>5.12</v>
      </c>
      <c r="F15" s="14" t="s">
        <v>13</v>
      </c>
      <c r="G15" s="10" t="s">
        <v>146</v>
      </c>
    </row>
    <row r="16" spans="1:7" x14ac:dyDescent="0.3">
      <c r="A16" s="3" t="s">
        <v>91</v>
      </c>
      <c r="B16" s="4" t="s">
        <v>92</v>
      </c>
      <c r="C16" s="4" t="s">
        <v>93</v>
      </c>
      <c r="D16" s="5" t="s">
        <v>171</v>
      </c>
      <c r="E16" s="15">
        <v>34339</v>
      </c>
      <c r="F16" s="8" t="s">
        <v>95</v>
      </c>
      <c r="G16" s="4" t="s">
        <v>170</v>
      </c>
    </row>
    <row r="17" spans="1:7" x14ac:dyDescent="0.3">
      <c r="A17" s="3" t="s">
        <v>9</v>
      </c>
      <c r="B17" s="4" t="s">
        <v>10</v>
      </c>
      <c r="C17" s="4" t="s">
        <v>11</v>
      </c>
      <c r="D17" s="5" t="s">
        <v>147</v>
      </c>
      <c r="E17" s="7">
        <v>5.45</v>
      </c>
      <c r="F17" s="8" t="s">
        <v>13</v>
      </c>
      <c r="G17" s="4" t="s">
        <v>148</v>
      </c>
    </row>
    <row r="18" spans="1:7" x14ac:dyDescent="0.3">
      <c r="A18" s="9" t="s">
        <v>53</v>
      </c>
      <c r="B18" s="10" t="s">
        <v>54</v>
      </c>
      <c r="C18" s="10" t="s">
        <v>11</v>
      </c>
      <c r="D18" s="11" t="s">
        <v>19</v>
      </c>
      <c r="E18" s="13">
        <v>0.54</v>
      </c>
      <c r="F18" s="14" t="s">
        <v>13</v>
      </c>
      <c r="G18" s="10"/>
    </row>
    <row r="19" spans="1:7" x14ac:dyDescent="0.3">
      <c r="A19" s="9" t="s">
        <v>9</v>
      </c>
      <c r="B19" s="10" t="s">
        <v>10</v>
      </c>
      <c r="C19" s="10" t="s">
        <v>11</v>
      </c>
      <c r="D19" s="11" t="s">
        <v>57</v>
      </c>
      <c r="E19" s="13">
        <v>5.89</v>
      </c>
      <c r="F19" s="14" t="s">
        <v>13</v>
      </c>
      <c r="G19" s="10" t="s">
        <v>149</v>
      </c>
    </row>
    <row r="20" spans="1:7" x14ac:dyDescent="0.3">
      <c r="A20" s="3" t="s">
        <v>9</v>
      </c>
      <c r="B20" s="4" t="s">
        <v>10</v>
      </c>
      <c r="C20" s="4" t="s">
        <v>11</v>
      </c>
      <c r="D20" s="5" t="s">
        <v>150</v>
      </c>
      <c r="E20" s="7">
        <v>6.34</v>
      </c>
      <c r="F20" s="8" t="s">
        <v>13</v>
      </c>
      <c r="G20" s="4" t="s">
        <v>151</v>
      </c>
    </row>
    <row r="21" spans="1:7" x14ac:dyDescent="0.3">
      <c r="A21" s="9" t="s">
        <v>114</v>
      </c>
      <c r="B21" s="10" t="s">
        <v>115</v>
      </c>
      <c r="C21" s="10" t="s">
        <v>11</v>
      </c>
      <c r="D21" s="11" t="s">
        <v>163</v>
      </c>
      <c r="E21" s="13">
        <v>8.41</v>
      </c>
      <c r="F21" s="14" t="s">
        <v>13</v>
      </c>
      <c r="G21" s="10" t="s">
        <v>164</v>
      </c>
    </row>
    <row r="22" spans="1:7" x14ac:dyDescent="0.3">
      <c r="A22" s="3" t="s">
        <v>53</v>
      </c>
      <c r="B22" s="4" t="s">
        <v>54</v>
      </c>
      <c r="C22" s="4" t="s">
        <v>11</v>
      </c>
      <c r="D22" s="5" t="s">
        <v>158</v>
      </c>
      <c r="E22" s="7">
        <v>0.91</v>
      </c>
      <c r="F22" s="8" t="s">
        <v>13</v>
      </c>
      <c r="G22" s="4"/>
    </row>
    <row r="23" spans="1:7" x14ac:dyDescent="0.3">
      <c r="A23" s="9" t="s">
        <v>9</v>
      </c>
      <c r="B23" s="10" t="s">
        <v>10</v>
      </c>
      <c r="C23" s="10" t="s">
        <v>11</v>
      </c>
      <c r="D23" s="11" t="s">
        <v>23</v>
      </c>
      <c r="E23" s="13">
        <v>11.2</v>
      </c>
      <c r="F23" s="14" t="s">
        <v>13</v>
      </c>
      <c r="G23" s="10" t="s">
        <v>152</v>
      </c>
    </row>
    <row r="24" spans="1:7" x14ac:dyDescent="0.3">
      <c r="A24" s="3" t="s">
        <v>114</v>
      </c>
      <c r="B24" s="4" t="s">
        <v>115</v>
      </c>
      <c r="C24" s="4" t="s">
        <v>11</v>
      </c>
      <c r="D24" s="5" t="s">
        <v>165</v>
      </c>
      <c r="E24" s="7">
        <v>5.42</v>
      </c>
      <c r="F24" s="8" t="s">
        <v>13</v>
      </c>
      <c r="G24" s="4" t="s">
        <v>164</v>
      </c>
    </row>
    <row r="25" spans="1:7" x14ac:dyDescent="0.3">
      <c r="A25" s="9" t="s">
        <v>53</v>
      </c>
      <c r="B25" s="10" t="s">
        <v>54</v>
      </c>
      <c r="C25" s="10" t="s">
        <v>11</v>
      </c>
      <c r="D25" s="11" t="s">
        <v>159</v>
      </c>
      <c r="E25" s="13">
        <v>1.32</v>
      </c>
      <c r="F25" s="14" t="s">
        <v>13</v>
      </c>
      <c r="G25" s="10"/>
    </row>
    <row r="26" spans="1:7" x14ac:dyDescent="0.3">
      <c r="A26" s="3" t="s">
        <v>9</v>
      </c>
      <c r="B26" s="4" t="s">
        <v>10</v>
      </c>
      <c r="C26" s="4" t="s">
        <v>11</v>
      </c>
      <c r="D26" s="5" t="s">
        <v>153</v>
      </c>
      <c r="E26" s="7">
        <v>12.1</v>
      </c>
      <c r="F26" s="8" t="s">
        <v>13</v>
      </c>
      <c r="G26" s="4" t="s">
        <v>154</v>
      </c>
    </row>
    <row r="27" spans="1:7" x14ac:dyDescent="0.3">
      <c r="A27" s="9" t="s">
        <v>114</v>
      </c>
      <c r="B27" s="10" t="s">
        <v>115</v>
      </c>
      <c r="C27" s="10" t="s">
        <v>11</v>
      </c>
      <c r="D27" s="11" t="s">
        <v>166</v>
      </c>
      <c r="E27" s="13">
        <v>8.0399999999999991</v>
      </c>
      <c r="F27" s="14" t="s">
        <v>13</v>
      </c>
      <c r="G27" s="10" t="s">
        <v>164</v>
      </c>
    </row>
    <row r="28" spans="1:7" x14ac:dyDescent="0.3">
      <c r="A28" s="3" t="s">
        <v>53</v>
      </c>
      <c r="B28" s="4" t="s">
        <v>54</v>
      </c>
      <c r="C28" s="4" t="s">
        <v>11</v>
      </c>
      <c r="D28" s="5" t="s">
        <v>160</v>
      </c>
      <c r="E28" s="7">
        <v>3.43</v>
      </c>
      <c r="F28" s="8" t="s">
        <v>13</v>
      </c>
      <c r="G28" s="4"/>
    </row>
    <row r="29" spans="1:7" x14ac:dyDescent="0.3">
      <c r="A29" s="9" t="s">
        <v>9</v>
      </c>
      <c r="B29" s="10" t="s">
        <v>10</v>
      </c>
      <c r="C29" s="10" t="s">
        <v>11</v>
      </c>
      <c r="D29" s="11" t="s">
        <v>58</v>
      </c>
      <c r="E29" s="13">
        <v>12.8</v>
      </c>
      <c r="F29" s="14" t="s">
        <v>13</v>
      </c>
      <c r="G29" s="10" t="s">
        <v>155</v>
      </c>
    </row>
    <row r="30" spans="1:7" x14ac:dyDescent="0.3">
      <c r="A30" s="3" t="s">
        <v>32</v>
      </c>
      <c r="B30" s="4" t="s">
        <v>33</v>
      </c>
      <c r="C30" s="4" t="s">
        <v>11</v>
      </c>
      <c r="D30" s="5" t="s">
        <v>167</v>
      </c>
      <c r="E30" s="7">
        <v>29.78</v>
      </c>
      <c r="F30" s="8" t="s">
        <v>13</v>
      </c>
      <c r="G30" s="4"/>
    </row>
    <row r="31" spans="1:7" x14ac:dyDescent="0.3">
      <c r="A31" s="9" t="s">
        <v>53</v>
      </c>
      <c r="B31" s="10" t="s">
        <v>54</v>
      </c>
      <c r="C31" s="10" t="s">
        <v>11</v>
      </c>
      <c r="D31" s="5" t="s">
        <v>161</v>
      </c>
      <c r="E31" s="13">
        <v>4.08</v>
      </c>
      <c r="F31" s="14" t="s">
        <v>13</v>
      </c>
      <c r="G31" s="10"/>
    </row>
    <row r="32" spans="1:7" x14ac:dyDescent="0.3">
      <c r="A32" s="9" t="s">
        <v>70</v>
      </c>
      <c r="B32" s="10" t="s">
        <v>71</v>
      </c>
      <c r="C32" s="10" t="s">
        <v>11</v>
      </c>
      <c r="D32" s="5" t="s">
        <v>168</v>
      </c>
      <c r="E32" s="13">
        <v>0.87</v>
      </c>
      <c r="F32" s="14" t="s">
        <v>13</v>
      </c>
      <c r="G32" s="10"/>
    </row>
    <row r="33" spans="1:7" x14ac:dyDescent="0.3">
      <c r="A33" s="3" t="s">
        <v>9</v>
      </c>
      <c r="B33" s="4" t="s">
        <v>10</v>
      </c>
      <c r="C33" s="4" t="s">
        <v>11</v>
      </c>
      <c r="D33" s="5" t="s">
        <v>156</v>
      </c>
      <c r="E33" s="7">
        <v>9.5</v>
      </c>
      <c r="F33" s="8" t="s">
        <v>13</v>
      </c>
      <c r="G33" s="4" t="s">
        <v>157</v>
      </c>
    </row>
    <row r="34" spans="1:7" x14ac:dyDescent="0.3">
      <c r="A34" s="3" t="s">
        <v>53</v>
      </c>
      <c r="B34" s="4" t="s">
        <v>54</v>
      </c>
      <c r="C34" s="4" t="s">
        <v>11</v>
      </c>
      <c r="D34" s="5" t="s">
        <v>162</v>
      </c>
      <c r="E34" s="7">
        <v>4.08</v>
      </c>
      <c r="F34" s="8" t="s">
        <v>13</v>
      </c>
      <c r="G34" s="4"/>
    </row>
    <row r="35" spans="1:7" x14ac:dyDescent="0.3">
      <c r="A35" s="3" t="s">
        <v>70</v>
      </c>
      <c r="B35" s="4" t="s">
        <v>71</v>
      </c>
      <c r="C35" s="4" t="s">
        <v>11</v>
      </c>
      <c r="D35" s="5" t="s">
        <v>169</v>
      </c>
      <c r="E35" s="7">
        <v>0.87</v>
      </c>
      <c r="F35" s="8" t="s">
        <v>13</v>
      </c>
      <c r="G35" s="4"/>
    </row>
    <row r="36" spans="1:7" x14ac:dyDescent="0.3">
      <c r="A36" s="3" t="s">
        <v>39</v>
      </c>
      <c r="B36" s="4" t="s">
        <v>40</v>
      </c>
      <c r="C36" s="4" t="s">
        <v>11</v>
      </c>
      <c r="D36" s="5">
        <v>46106</v>
      </c>
      <c r="E36" s="7">
        <v>3.54</v>
      </c>
      <c r="F36" s="8" t="s">
        <v>13</v>
      </c>
      <c r="G36" s="4"/>
    </row>
    <row r="37" spans="1:7" x14ac:dyDescent="0.3">
      <c r="A37" s="3" t="s">
        <v>32</v>
      </c>
      <c r="B37" s="4" t="s">
        <v>33</v>
      </c>
      <c r="C37" s="4" t="s">
        <v>11</v>
      </c>
      <c r="D37" s="5">
        <v>46112</v>
      </c>
      <c r="E37" s="7">
        <v>29.78</v>
      </c>
      <c r="F37" s="8" t="s">
        <v>13</v>
      </c>
      <c r="G37" s="4"/>
    </row>
    <row r="38" spans="1:7" x14ac:dyDescent="0.3">
      <c r="A38" s="9" t="s">
        <v>9</v>
      </c>
      <c r="B38" s="10" t="s">
        <v>10</v>
      </c>
      <c r="C38" s="10" t="s">
        <v>11</v>
      </c>
      <c r="D38" s="5">
        <v>46112</v>
      </c>
      <c r="E38" s="7">
        <v>19.43</v>
      </c>
      <c r="F38" s="8" t="s">
        <v>13</v>
      </c>
      <c r="G38" s="4"/>
    </row>
    <row r="39" spans="1:7" x14ac:dyDescent="0.3">
      <c r="A39" s="3" t="s">
        <v>53</v>
      </c>
      <c r="B39" s="4" t="s">
        <v>54</v>
      </c>
      <c r="C39" s="4" t="s">
        <v>11</v>
      </c>
      <c r="D39" s="5">
        <v>46171</v>
      </c>
      <c r="E39" s="7">
        <v>4.3</v>
      </c>
      <c r="F39" s="8" t="s">
        <v>13</v>
      </c>
      <c r="G39" s="4"/>
    </row>
    <row r="40" spans="1:7" x14ac:dyDescent="0.3">
      <c r="A40" s="3" t="s">
        <v>32</v>
      </c>
      <c r="B40" s="4" t="s">
        <v>33</v>
      </c>
      <c r="C40" s="4" t="s">
        <v>11</v>
      </c>
      <c r="D40" s="5">
        <v>46177</v>
      </c>
      <c r="E40" s="7">
        <v>8.9</v>
      </c>
      <c r="F40" s="8" t="s">
        <v>13</v>
      </c>
      <c r="G40" s="4"/>
    </row>
    <row r="41" spans="1:7" x14ac:dyDescent="0.3">
      <c r="A41" s="9" t="s">
        <v>76</v>
      </c>
      <c r="B41" s="10" t="s">
        <v>77</v>
      </c>
      <c r="C41" s="4" t="s">
        <v>11</v>
      </c>
      <c r="D41" s="5">
        <v>46183</v>
      </c>
      <c r="E41" s="7">
        <v>38.619999999999997</v>
      </c>
      <c r="F41" s="8" t="s">
        <v>13</v>
      </c>
      <c r="G41" s="4"/>
    </row>
    <row r="42" spans="1:7" x14ac:dyDescent="0.3">
      <c r="A42" s="9" t="s">
        <v>70</v>
      </c>
      <c r="B42" s="10" t="s">
        <v>71</v>
      </c>
      <c r="C42" s="10" t="s">
        <v>11</v>
      </c>
      <c r="D42" s="5">
        <v>46190</v>
      </c>
      <c r="E42" s="7">
        <v>0.87</v>
      </c>
      <c r="F42" s="8" t="s">
        <v>13</v>
      </c>
      <c r="G42" s="4"/>
    </row>
    <row r="43" spans="1:7" x14ac:dyDescent="0.3">
      <c r="A43" s="20" t="s">
        <v>198</v>
      </c>
      <c r="B43" s="20" t="s">
        <v>199</v>
      </c>
      <c r="C43" s="20" t="s">
        <v>188</v>
      </c>
      <c r="D43" s="20" t="s">
        <v>224</v>
      </c>
      <c r="E43" s="22">
        <v>81676</v>
      </c>
      <c r="F43" s="20" t="s">
        <v>95</v>
      </c>
      <c r="G43" s="20"/>
    </row>
    <row r="44" spans="1:7" x14ac:dyDescent="0.3">
      <c r="A44" s="20" t="s">
        <v>101</v>
      </c>
      <c r="B44" s="20" t="s">
        <v>102</v>
      </c>
      <c r="C44" s="20" t="s">
        <v>188</v>
      </c>
      <c r="D44" s="20" t="s">
        <v>224</v>
      </c>
      <c r="E44" s="22">
        <v>110</v>
      </c>
      <c r="F44" s="20" t="s">
        <v>95</v>
      </c>
      <c r="G44" s="20"/>
    </row>
    <row r="45" spans="1:7" x14ac:dyDescent="0.3">
      <c r="A45" s="20" t="s">
        <v>101</v>
      </c>
      <c r="B45" s="20" t="s">
        <v>102</v>
      </c>
      <c r="C45" s="20" t="s">
        <v>188</v>
      </c>
      <c r="D45" s="20" t="s">
        <v>224</v>
      </c>
      <c r="E45" s="22">
        <v>18372</v>
      </c>
      <c r="F45" s="20" t="s">
        <v>95</v>
      </c>
      <c r="G45" s="20"/>
    </row>
    <row r="46" spans="1:7" x14ac:dyDescent="0.3">
      <c r="A46" s="20" t="s">
        <v>101</v>
      </c>
      <c r="B46" s="20" t="s">
        <v>102</v>
      </c>
      <c r="C46" s="20" t="s">
        <v>188</v>
      </c>
      <c r="D46" s="20" t="s">
        <v>225</v>
      </c>
      <c r="E46" s="22">
        <v>4121</v>
      </c>
      <c r="F46" s="20" t="s">
        <v>95</v>
      </c>
      <c r="G46" s="20"/>
    </row>
    <row r="47" spans="1:7" x14ac:dyDescent="0.3">
      <c r="A47" s="20" t="s">
        <v>101</v>
      </c>
      <c r="B47" s="20" t="s">
        <v>102</v>
      </c>
      <c r="C47" s="20" t="s">
        <v>188</v>
      </c>
      <c r="D47" s="20" t="s">
        <v>226</v>
      </c>
      <c r="E47" s="22">
        <v>6002</v>
      </c>
      <c r="F47" s="20" t="s">
        <v>95</v>
      </c>
      <c r="G47" s="20"/>
    </row>
    <row r="48" spans="1:7" x14ac:dyDescent="0.3">
      <c r="A48" s="20" t="s">
        <v>101</v>
      </c>
      <c r="B48" s="20" t="s">
        <v>102</v>
      </c>
      <c r="C48" s="20" t="s">
        <v>188</v>
      </c>
      <c r="D48" s="20" t="s">
        <v>227</v>
      </c>
      <c r="E48" s="22">
        <v>559</v>
      </c>
      <c r="F48" s="20" t="s">
        <v>95</v>
      </c>
      <c r="G48" s="20"/>
    </row>
    <row r="49" spans="1:7" x14ac:dyDescent="0.3">
      <c r="A49" s="20" t="s">
        <v>101</v>
      </c>
      <c r="B49" s="20" t="s">
        <v>102</v>
      </c>
      <c r="C49" s="20" t="s">
        <v>188</v>
      </c>
      <c r="D49" s="20" t="s">
        <v>227</v>
      </c>
      <c r="E49" s="22">
        <v>1675</v>
      </c>
      <c r="F49" s="20" t="s">
        <v>95</v>
      </c>
      <c r="G49" s="20"/>
    </row>
    <row r="50" spans="1:7" x14ac:dyDescent="0.3">
      <c r="A50" s="20" t="s">
        <v>101</v>
      </c>
      <c r="B50" s="20" t="s">
        <v>102</v>
      </c>
      <c r="C50" s="20" t="s">
        <v>188</v>
      </c>
      <c r="D50" s="20" t="s">
        <v>227</v>
      </c>
      <c r="E50" s="22">
        <v>1784</v>
      </c>
      <c r="F50" s="20" t="s">
        <v>95</v>
      </c>
      <c r="G50" s="20"/>
    </row>
    <row r="51" spans="1:7" x14ac:dyDescent="0.3">
      <c r="A51" s="20" t="s">
        <v>101</v>
      </c>
      <c r="B51" s="20" t="s">
        <v>102</v>
      </c>
      <c r="C51" s="20" t="s">
        <v>188</v>
      </c>
      <c r="D51" s="20" t="s">
        <v>227</v>
      </c>
      <c r="E51" s="22">
        <v>620</v>
      </c>
      <c r="F51" s="20" t="s">
        <v>95</v>
      </c>
      <c r="G51" s="20"/>
    </row>
    <row r="52" spans="1:7" x14ac:dyDescent="0.3">
      <c r="A52" s="20" t="s">
        <v>101</v>
      </c>
      <c r="B52" s="20" t="s">
        <v>102</v>
      </c>
      <c r="C52" s="20" t="s">
        <v>188</v>
      </c>
      <c r="D52" s="20" t="s">
        <v>228</v>
      </c>
      <c r="E52" s="22">
        <v>856</v>
      </c>
      <c r="F52" s="20" t="s">
        <v>95</v>
      </c>
      <c r="G52" s="20"/>
    </row>
    <row r="53" spans="1:7" x14ac:dyDescent="0.3">
      <c r="A53" s="20" t="s">
        <v>101</v>
      </c>
      <c r="B53" s="20" t="s">
        <v>102</v>
      </c>
      <c r="C53" s="20" t="s">
        <v>188</v>
      </c>
      <c r="D53" s="20" t="s">
        <v>15</v>
      </c>
      <c r="E53" s="22">
        <v>1303</v>
      </c>
      <c r="F53" s="20" t="s">
        <v>95</v>
      </c>
      <c r="G53" s="20"/>
    </row>
    <row r="54" spans="1:7" x14ac:dyDescent="0.3">
      <c r="A54" s="20" t="s">
        <v>101</v>
      </c>
      <c r="B54" s="20" t="s">
        <v>102</v>
      </c>
      <c r="C54" s="20" t="s">
        <v>188</v>
      </c>
      <c r="D54" s="20" t="s">
        <v>15</v>
      </c>
      <c r="E54" s="22">
        <v>546</v>
      </c>
      <c r="F54" s="20" t="s">
        <v>95</v>
      </c>
      <c r="G54" s="20"/>
    </row>
    <row r="55" spans="1:7" x14ac:dyDescent="0.3">
      <c r="A55" s="20" t="s">
        <v>101</v>
      </c>
      <c r="B55" s="20" t="s">
        <v>102</v>
      </c>
      <c r="C55" s="20" t="s">
        <v>188</v>
      </c>
      <c r="D55" s="20" t="s">
        <v>229</v>
      </c>
      <c r="E55" s="22">
        <v>1393</v>
      </c>
      <c r="F55" s="20" t="s">
        <v>95</v>
      </c>
      <c r="G55" s="20"/>
    </row>
    <row r="56" spans="1:7" x14ac:dyDescent="0.3">
      <c r="A56" s="20" t="s">
        <v>101</v>
      </c>
      <c r="B56" s="20" t="s">
        <v>102</v>
      </c>
      <c r="C56" s="20" t="s">
        <v>188</v>
      </c>
      <c r="D56" s="20" t="s">
        <v>229</v>
      </c>
      <c r="E56" s="22">
        <v>23</v>
      </c>
      <c r="F56" s="20" t="s">
        <v>95</v>
      </c>
      <c r="G56" s="20"/>
    </row>
    <row r="57" spans="1:7" x14ac:dyDescent="0.3">
      <c r="A57" s="20" t="s">
        <v>101</v>
      </c>
      <c r="B57" s="20" t="s">
        <v>102</v>
      </c>
      <c r="C57" s="20" t="s">
        <v>188</v>
      </c>
      <c r="D57" s="20" t="s">
        <v>229</v>
      </c>
      <c r="E57" s="22">
        <v>1755</v>
      </c>
      <c r="F57" s="20" t="s">
        <v>95</v>
      </c>
      <c r="G57" s="20"/>
    </row>
    <row r="58" spans="1:7" x14ac:dyDescent="0.3">
      <c r="A58" s="20" t="s">
        <v>101</v>
      </c>
      <c r="B58" s="20" t="s">
        <v>102</v>
      </c>
      <c r="C58" s="20" t="s">
        <v>188</v>
      </c>
      <c r="D58" s="20" t="s">
        <v>230</v>
      </c>
      <c r="E58" s="22">
        <v>2248</v>
      </c>
      <c r="F58" s="20" t="s">
        <v>95</v>
      </c>
      <c r="G58" s="20"/>
    </row>
    <row r="59" spans="1:7" x14ac:dyDescent="0.3">
      <c r="A59" s="20" t="s">
        <v>101</v>
      </c>
      <c r="B59" s="20" t="s">
        <v>102</v>
      </c>
      <c r="C59" s="20" t="s">
        <v>188</v>
      </c>
      <c r="D59" s="20" t="s">
        <v>230</v>
      </c>
      <c r="E59" s="22">
        <v>528</v>
      </c>
      <c r="F59" s="20" t="s">
        <v>95</v>
      </c>
      <c r="G59" s="20"/>
    </row>
    <row r="60" spans="1:7" x14ac:dyDescent="0.3">
      <c r="A60" s="20" t="s">
        <v>101</v>
      </c>
      <c r="B60" s="20" t="s">
        <v>102</v>
      </c>
      <c r="C60" s="20" t="s">
        <v>188</v>
      </c>
      <c r="D60" s="20" t="s">
        <v>231</v>
      </c>
      <c r="E60" s="22">
        <v>483</v>
      </c>
      <c r="F60" s="20" t="s">
        <v>95</v>
      </c>
      <c r="G60" s="20"/>
    </row>
    <row r="61" spans="1:7" x14ac:dyDescent="0.3">
      <c r="A61" s="20" t="s">
        <v>101</v>
      </c>
      <c r="B61" s="20" t="s">
        <v>102</v>
      </c>
      <c r="C61" s="20" t="s">
        <v>188</v>
      </c>
      <c r="D61" s="20" t="s">
        <v>231</v>
      </c>
      <c r="E61" s="22">
        <v>549</v>
      </c>
      <c r="F61" s="20" t="s">
        <v>95</v>
      </c>
      <c r="G61" s="20"/>
    </row>
    <row r="62" spans="1:7" x14ac:dyDescent="0.3">
      <c r="A62" s="20" t="s">
        <v>101</v>
      </c>
      <c r="B62" s="20" t="s">
        <v>102</v>
      </c>
      <c r="C62" s="20" t="s">
        <v>188</v>
      </c>
      <c r="D62" s="20" t="s">
        <v>232</v>
      </c>
      <c r="E62" s="22">
        <v>1362</v>
      </c>
      <c r="F62" s="20" t="s">
        <v>95</v>
      </c>
      <c r="G62" s="20"/>
    </row>
    <row r="63" spans="1:7" x14ac:dyDescent="0.3">
      <c r="A63" s="20" t="s">
        <v>101</v>
      </c>
      <c r="B63" s="20" t="s">
        <v>102</v>
      </c>
      <c r="C63" s="20" t="s">
        <v>188</v>
      </c>
      <c r="D63" s="20" t="s">
        <v>232</v>
      </c>
      <c r="E63" s="22">
        <v>2126</v>
      </c>
      <c r="F63" s="20" t="s">
        <v>95</v>
      </c>
      <c r="G63" s="20"/>
    </row>
    <row r="64" spans="1:7" x14ac:dyDescent="0.3">
      <c r="A64" s="20" t="s">
        <v>196</v>
      </c>
      <c r="B64" s="20" t="s">
        <v>197</v>
      </c>
      <c r="C64" s="20" t="s">
        <v>188</v>
      </c>
      <c r="D64" s="20" t="s">
        <v>233</v>
      </c>
      <c r="E64" s="22">
        <v>75960</v>
      </c>
      <c r="F64" s="20" t="s">
        <v>95</v>
      </c>
      <c r="G64" s="20" t="s">
        <v>234</v>
      </c>
    </row>
    <row r="65" spans="1:7" x14ac:dyDescent="0.3">
      <c r="A65" s="20" t="s">
        <v>101</v>
      </c>
      <c r="B65" s="20" t="s">
        <v>102</v>
      </c>
      <c r="C65" s="20" t="s">
        <v>188</v>
      </c>
      <c r="D65" s="20" t="s">
        <v>233</v>
      </c>
      <c r="E65" s="22">
        <v>353</v>
      </c>
      <c r="F65" s="20" t="s">
        <v>95</v>
      </c>
      <c r="G65" s="20"/>
    </row>
    <row r="66" spans="1:7" x14ac:dyDescent="0.3">
      <c r="A66" s="20" t="s">
        <v>101</v>
      </c>
      <c r="B66" s="20" t="s">
        <v>102</v>
      </c>
      <c r="C66" s="20" t="s">
        <v>188</v>
      </c>
      <c r="D66" s="20" t="s">
        <v>233</v>
      </c>
      <c r="E66" s="22">
        <v>529</v>
      </c>
      <c r="F66" s="20" t="s">
        <v>95</v>
      </c>
      <c r="G66" s="20"/>
    </row>
    <row r="67" spans="1:7" x14ac:dyDescent="0.3">
      <c r="A67" s="20" t="s">
        <v>101</v>
      </c>
      <c r="B67" s="20" t="s">
        <v>102</v>
      </c>
      <c r="C67" s="20" t="s">
        <v>188</v>
      </c>
      <c r="D67" s="20" t="s">
        <v>233</v>
      </c>
      <c r="E67" s="22">
        <v>2076</v>
      </c>
      <c r="F67" s="20" t="s">
        <v>95</v>
      </c>
      <c r="G67" s="20"/>
    </row>
    <row r="68" spans="1:7" x14ac:dyDescent="0.3">
      <c r="A68" s="20" t="s">
        <v>101</v>
      </c>
      <c r="B68" s="20" t="s">
        <v>102</v>
      </c>
      <c r="C68" s="20" t="s">
        <v>188</v>
      </c>
      <c r="D68" s="20" t="s">
        <v>235</v>
      </c>
      <c r="E68" s="22">
        <v>712</v>
      </c>
      <c r="F68" s="20" t="s">
        <v>95</v>
      </c>
      <c r="G68" s="20"/>
    </row>
    <row r="69" spans="1:7" x14ac:dyDescent="0.3">
      <c r="A69" s="20" t="s">
        <v>101</v>
      </c>
      <c r="B69" s="20" t="s">
        <v>102</v>
      </c>
      <c r="C69" s="20" t="s">
        <v>188</v>
      </c>
      <c r="D69" s="20" t="s">
        <v>235</v>
      </c>
      <c r="E69" s="22">
        <v>1117</v>
      </c>
      <c r="F69" s="20" t="s">
        <v>95</v>
      </c>
      <c r="G69" s="20"/>
    </row>
    <row r="70" spans="1:7" x14ac:dyDescent="0.3">
      <c r="A70" s="20" t="s">
        <v>101</v>
      </c>
      <c r="B70" s="20" t="s">
        <v>102</v>
      </c>
      <c r="C70" s="20" t="s">
        <v>188</v>
      </c>
      <c r="D70" s="20" t="s">
        <v>235</v>
      </c>
      <c r="E70" s="22">
        <v>1059</v>
      </c>
      <c r="F70" s="20" t="s">
        <v>95</v>
      </c>
      <c r="G70" s="20"/>
    </row>
    <row r="71" spans="1:7" x14ac:dyDescent="0.3">
      <c r="A71" s="20" t="s">
        <v>101</v>
      </c>
      <c r="B71" s="20" t="s">
        <v>102</v>
      </c>
      <c r="C71" s="20" t="s">
        <v>188</v>
      </c>
      <c r="D71" s="20" t="s">
        <v>235</v>
      </c>
      <c r="E71" s="22">
        <v>2472</v>
      </c>
      <c r="F71" s="20" t="s">
        <v>95</v>
      </c>
      <c r="G71" s="20"/>
    </row>
    <row r="72" spans="1:7" x14ac:dyDescent="0.3">
      <c r="A72" s="20" t="s">
        <v>101</v>
      </c>
      <c r="B72" s="20" t="s">
        <v>102</v>
      </c>
      <c r="C72" s="20" t="s">
        <v>188</v>
      </c>
      <c r="D72" s="20" t="s">
        <v>235</v>
      </c>
      <c r="E72" s="22">
        <v>8236</v>
      </c>
      <c r="F72" s="20" t="s">
        <v>95</v>
      </c>
      <c r="G72" s="20"/>
    </row>
    <row r="73" spans="1:7" x14ac:dyDescent="0.3">
      <c r="A73" s="20" t="s">
        <v>101</v>
      </c>
      <c r="B73" s="20" t="s">
        <v>102</v>
      </c>
      <c r="C73" s="20" t="s">
        <v>188</v>
      </c>
      <c r="D73" s="20" t="s">
        <v>235</v>
      </c>
      <c r="E73" s="22">
        <v>3941</v>
      </c>
      <c r="F73" s="20" t="s">
        <v>95</v>
      </c>
      <c r="G73" s="20"/>
    </row>
    <row r="74" spans="1:7" x14ac:dyDescent="0.3">
      <c r="A74" s="20" t="s">
        <v>101</v>
      </c>
      <c r="B74" s="20" t="s">
        <v>102</v>
      </c>
      <c r="C74" s="20" t="s">
        <v>188</v>
      </c>
      <c r="D74" s="20" t="s">
        <v>236</v>
      </c>
      <c r="E74" s="22">
        <v>5043</v>
      </c>
      <c r="F74" s="20" t="s">
        <v>95</v>
      </c>
      <c r="G74" s="20"/>
    </row>
    <row r="75" spans="1:7" x14ac:dyDescent="0.3">
      <c r="A75" s="20" t="s">
        <v>101</v>
      </c>
      <c r="B75" s="20" t="s">
        <v>102</v>
      </c>
      <c r="C75" s="20" t="s">
        <v>188</v>
      </c>
      <c r="D75" s="20" t="s">
        <v>17</v>
      </c>
      <c r="E75" s="22">
        <v>1209</v>
      </c>
      <c r="F75" s="20" t="s">
        <v>95</v>
      </c>
      <c r="G75" s="20"/>
    </row>
    <row r="76" spans="1:7" x14ac:dyDescent="0.3">
      <c r="A76" s="20" t="s">
        <v>101</v>
      </c>
      <c r="B76" s="20" t="s">
        <v>102</v>
      </c>
      <c r="C76" s="20" t="s">
        <v>188</v>
      </c>
      <c r="D76" s="20" t="s">
        <v>17</v>
      </c>
      <c r="E76" s="22">
        <v>670</v>
      </c>
      <c r="F76" s="20" t="s">
        <v>95</v>
      </c>
      <c r="G76" s="20"/>
    </row>
    <row r="77" spans="1:7" x14ac:dyDescent="0.3">
      <c r="A77" s="20" t="s">
        <v>101</v>
      </c>
      <c r="B77" s="20" t="s">
        <v>102</v>
      </c>
      <c r="C77" s="20" t="s">
        <v>188</v>
      </c>
      <c r="D77" s="20" t="s">
        <v>55</v>
      </c>
      <c r="E77" s="22">
        <v>285</v>
      </c>
      <c r="F77" s="20" t="s">
        <v>95</v>
      </c>
      <c r="G77" s="20"/>
    </row>
    <row r="78" spans="1:7" x14ac:dyDescent="0.3">
      <c r="A78" s="20" t="s">
        <v>91</v>
      </c>
      <c r="B78" s="20" t="s">
        <v>92</v>
      </c>
      <c r="C78" s="20" t="s">
        <v>188</v>
      </c>
      <c r="D78" s="20" t="s">
        <v>237</v>
      </c>
      <c r="E78" s="22">
        <v>11092</v>
      </c>
      <c r="F78" s="20" t="s">
        <v>95</v>
      </c>
      <c r="G78" s="20"/>
    </row>
    <row r="79" spans="1:7" x14ac:dyDescent="0.3">
      <c r="A79" s="20" t="s">
        <v>192</v>
      </c>
      <c r="B79" s="20" t="s">
        <v>193</v>
      </c>
      <c r="C79" s="20" t="s">
        <v>188</v>
      </c>
      <c r="D79" s="20" t="s">
        <v>237</v>
      </c>
      <c r="E79" s="22">
        <v>102659</v>
      </c>
      <c r="F79" s="20" t="s">
        <v>95</v>
      </c>
      <c r="G79" s="20"/>
    </row>
    <row r="80" spans="1:7" x14ac:dyDescent="0.3">
      <c r="A80" s="20" t="s">
        <v>101</v>
      </c>
      <c r="B80" s="20" t="s">
        <v>102</v>
      </c>
      <c r="C80" s="20" t="s">
        <v>188</v>
      </c>
      <c r="D80" s="20" t="s">
        <v>238</v>
      </c>
      <c r="E80" s="22">
        <v>699</v>
      </c>
      <c r="F80" s="20" t="s">
        <v>95</v>
      </c>
      <c r="G80" s="20"/>
    </row>
    <row r="81" spans="1:7" x14ac:dyDescent="0.3">
      <c r="A81" s="20" t="s">
        <v>101</v>
      </c>
      <c r="B81" s="20" t="s">
        <v>102</v>
      </c>
      <c r="C81" s="20" t="s">
        <v>188</v>
      </c>
      <c r="D81" s="20" t="s">
        <v>239</v>
      </c>
      <c r="E81" s="22">
        <v>97</v>
      </c>
      <c r="F81" s="20" t="s">
        <v>95</v>
      </c>
      <c r="G81" s="20"/>
    </row>
    <row r="82" spans="1:7" x14ac:dyDescent="0.3">
      <c r="A82" s="20" t="s">
        <v>101</v>
      </c>
      <c r="B82" s="20" t="s">
        <v>102</v>
      </c>
      <c r="C82" s="20" t="s">
        <v>188</v>
      </c>
      <c r="D82" s="20" t="s">
        <v>240</v>
      </c>
      <c r="E82" s="22">
        <v>873</v>
      </c>
      <c r="F82" s="20" t="s">
        <v>95</v>
      </c>
      <c r="G82" s="20"/>
    </row>
    <row r="83" spans="1:7" x14ac:dyDescent="0.3">
      <c r="A83" s="20" t="s">
        <v>101</v>
      </c>
      <c r="B83" s="20" t="s">
        <v>102</v>
      </c>
      <c r="C83" s="20" t="s">
        <v>188</v>
      </c>
      <c r="D83" s="20" t="s">
        <v>241</v>
      </c>
      <c r="E83" s="22">
        <v>106</v>
      </c>
      <c r="F83" s="20" t="s">
        <v>95</v>
      </c>
      <c r="G83" s="20"/>
    </row>
    <row r="84" spans="1:7" x14ac:dyDescent="0.3">
      <c r="A84" s="20" t="s">
        <v>101</v>
      </c>
      <c r="B84" s="20" t="s">
        <v>102</v>
      </c>
      <c r="C84" s="20" t="s">
        <v>188</v>
      </c>
      <c r="D84" s="20" t="s">
        <v>183</v>
      </c>
      <c r="E84" s="22">
        <v>659</v>
      </c>
      <c r="F84" s="20" t="s">
        <v>95</v>
      </c>
      <c r="G84" s="20"/>
    </row>
    <row r="85" spans="1:7" x14ac:dyDescent="0.3">
      <c r="A85" s="20" t="s">
        <v>101</v>
      </c>
      <c r="B85" s="20" t="s">
        <v>102</v>
      </c>
      <c r="C85" s="20" t="s">
        <v>188</v>
      </c>
      <c r="D85" s="20" t="s">
        <v>242</v>
      </c>
      <c r="E85" s="22">
        <v>2086</v>
      </c>
      <c r="F85" s="20" t="s">
        <v>95</v>
      </c>
      <c r="G85" s="20"/>
    </row>
    <row r="86" spans="1:7" x14ac:dyDescent="0.3">
      <c r="A86" s="20" t="s">
        <v>101</v>
      </c>
      <c r="B86" s="20" t="s">
        <v>102</v>
      </c>
      <c r="C86" s="20" t="s">
        <v>188</v>
      </c>
      <c r="D86" s="20" t="s">
        <v>243</v>
      </c>
      <c r="E86" s="22">
        <v>759</v>
      </c>
      <c r="F86" s="20" t="s">
        <v>95</v>
      </c>
      <c r="G86" s="20"/>
    </row>
    <row r="87" spans="1:7" x14ac:dyDescent="0.3">
      <c r="A87" s="20" t="s">
        <v>101</v>
      </c>
      <c r="B87" s="20" t="s">
        <v>102</v>
      </c>
      <c r="C87" s="20" t="s">
        <v>188</v>
      </c>
      <c r="D87" s="20" t="s">
        <v>244</v>
      </c>
      <c r="E87" s="22">
        <v>124</v>
      </c>
      <c r="F87" s="20" t="s">
        <v>95</v>
      </c>
      <c r="G87" s="20"/>
    </row>
    <row r="88" spans="1:7" x14ac:dyDescent="0.3">
      <c r="A88" s="20" t="s">
        <v>101</v>
      </c>
      <c r="B88" s="20" t="s">
        <v>102</v>
      </c>
      <c r="C88" s="20" t="s">
        <v>188</v>
      </c>
      <c r="D88" s="20" t="s">
        <v>245</v>
      </c>
      <c r="E88" s="22">
        <v>2470</v>
      </c>
      <c r="F88" s="20" t="s">
        <v>95</v>
      </c>
      <c r="G88" s="20"/>
    </row>
    <row r="89" spans="1:7" x14ac:dyDescent="0.3">
      <c r="A89" s="20" t="s">
        <v>101</v>
      </c>
      <c r="B89" s="20" t="s">
        <v>102</v>
      </c>
      <c r="C89" s="20" t="s">
        <v>188</v>
      </c>
      <c r="D89" s="20" t="s">
        <v>245</v>
      </c>
      <c r="E89" s="22">
        <v>2052</v>
      </c>
      <c r="F89" s="20" t="s">
        <v>95</v>
      </c>
      <c r="G89" s="20"/>
    </row>
    <row r="90" spans="1:7" x14ac:dyDescent="0.3">
      <c r="A90" s="20" t="s">
        <v>101</v>
      </c>
      <c r="B90" s="20" t="s">
        <v>102</v>
      </c>
      <c r="C90" s="20" t="s">
        <v>188</v>
      </c>
      <c r="D90" s="20" t="s">
        <v>246</v>
      </c>
      <c r="E90" s="22">
        <v>371</v>
      </c>
      <c r="F90" s="20" t="s">
        <v>95</v>
      </c>
      <c r="G90" s="20"/>
    </row>
    <row r="91" spans="1:7" x14ac:dyDescent="0.3">
      <c r="A91" s="20" t="s">
        <v>101</v>
      </c>
      <c r="B91" s="20" t="s">
        <v>102</v>
      </c>
      <c r="C91" s="20" t="s">
        <v>188</v>
      </c>
      <c r="D91" s="20" t="s">
        <v>247</v>
      </c>
      <c r="E91" s="22">
        <v>1746</v>
      </c>
      <c r="F91" s="20" t="s">
        <v>95</v>
      </c>
      <c r="G91" s="20"/>
    </row>
    <row r="92" spans="1:7" x14ac:dyDescent="0.3">
      <c r="A92" s="20" t="s">
        <v>101</v>
      </c>
      <c r="B92" s="20" t="s">
        <v>102</v>
      </c>
      <c r="C92" s="20" t="s">
        <v>188</v>
      </c>
      <c r="D92" s="20" t="s">
        <v>248</v>
      </c>
      <c r="E92" s="22">
        <v>106</v>
      </c>
      <c r="F92" s="20" t="s">
        <v>95</v>
      </c>
      <c r="G92" s="20"/>
    </row>
    <row r="93" spans="1:7" x14ac:dyDescent="0.3">
      <c r="A93" s="20" t="s">
        <v>101</v>
      </c>
      <c r="B93" s="20" t="s">
        <v>102</v>
      </c>
      <c r="C93" s="20" t="s">
        <v>188</v>
      </c>
      <c r="D93" s="20" t="s">
        <v>248</v>
      </c>
      <c r="E93" s="22">
        <v>349</v>
      </c>
      <c r="F93" s="20" t="s">
        <v>95</v>
      </c>
      <c r="G93" s="20"/>
    </row>
    <row r="94" spans="1:7" x14ac:dyDescent="0.3">
      <c r="A94" s="20" t="s">
        <v>101</v>
      </c>
      <c r="B94" s="20" t="s">
        <v>102</v>
      </c>
      <c r="C94" s="20" t="s">
        <v>188</v>
      </c>
      <c r="D94" s="20" t="s">
        <v>249</v>
      </c>
      <c r="E94" s="22">
        <v>941</v>
      </c>
      <c r="F94" s="20" t="s">
        <v>95</v>
      </c>
      <c r="G94" s="20"/>
    </row>
    <row r="95" spans="1:7" x14ac:dyDescent="0.3">
      <c r="A95" s="20" t="s">
        <v>101</v>
      </c>
      <c r="B95" s="20" t="s">
        <v>102</v>
      </c>
      <c r="C95" s="20" t="s">
        <v>188</v>
      </c>
      <c r="D95" s="20" t="s">
        <v>250</v>
      </c>
      <c r="E95" s="22">
        <v>879</v>
      </c>
      <c r="F95" s="20" t="s">
        <v>95</v>
      </c>
      <c r="G95" s="20"/>
    </row>
    <row r="96" spans="1:7" x14ac:dyDescent="0.3">
      <c r="A96" s="20" t="s">
        <v>101</v>
      </c>
      <c r="B96" s="20" t="s">
        <v>102</v>
      </c>
      <c r="C96" s="20" t="s">
        <v>188</v>
      </c>
      <c r="D96" s="20" t="s">
        <v>251</v>
      </c>
      <c r="E96" s="22">
        <v>880</v>
      </c>
      <c r="F96" s="20" t="s">
        <v>95</v>
      </c>
      <c r="G96" s="20"/>
    </row>
    <row r="97" spans="1:7" x14ac:dyDescent="0.3">
      <c r="A97" s="20" t="s">
        <v>101</v>
      </c>
      <c r="B97" s="20" t="s">
        <v>102</v>
      </c>
      <c r="C97" s="20" t="s">
        <v>188</v>
      </c>
      <c r="D97" s="20" t="s">
        <v>252</v>
      </c>
      <c r="E97" s="22">
        <v>496</v>
      </c>
      <c r="F97" s="20" t="s">
        <v>95</v>
      </c>
      <c r="G97" s="20"/>
    </row>
    <row r="98" spans="1:7" x14ac:dyDescent="0.3">
      <c r="A98" s="20" t="s">
        <v>101</v>
      </c>
      <c r="B98" s="20" t="s">
        <v>102</v>
      </c>
      <c r="C98" s="20" t="s">
        <v>188</v>
      </c>
      <c r="D98" s="20" t="s">
        <v>253</v>
      </c>
      <c r="E98" s="22">
        <v>1143</v>
      </c>
      <c r="F98" s="20" t="s">
        <v>95</v>
      </c>
      <c r="G98" s="20"/>
    </row>
    <row r="99" spans="1:7" x14ac:dyDescent="0.3">
      <c r="A99" s="20" t="s">
        <v>101</v>
      </c>
      <c r="B99" s="20" t="s">
        <v>102</v>
      </c>
      <c r="C99" s="20" t="s">
        <v>188</v>
      </c>
      <c r="D99" s="20" t="s">
        <v>254</v>
      </c>
      <c r="E99" s="22">
        <v>3385</v>
      </c>
      <c r="F99" s="20" t="s">
        <v>95</v>
      </c>
      <c r="G99" s="20"/>
    </row>
    <row r="100" spans="1:7" x14ac:dyDescent="0.3">
      <c r="A100" s="20" t="s">
        <v>101</v>
      </c>
      <c r="B100" s="20" t="s">
        <v>102</v>
      </c>
      <c r="C100" s="20" t="s">
        <v>188</v>
      </c>
      <c r="D100" s="20" t="s">
        <v>254</v>
      </c>
      <c r="E100" s="22">
        <v>2904</v>
      </c>
      <c r="F100" s="20" t="s">
        <v>95</v>
      </c>
      <c r="G100" s="20"/>
    </row>
    <row r="101" spans="1:7" x14ac:dyDescent="0.3">
      <c r="A101" s="20" t="s">
        <v>198</v>
      </c>
      <c r="B101" s="20" t="s">
        <v>199</v>
      </c>
      <c r="C101" s="20" t="s">
        <v>188</v>
      </c>
      <c r="D101" s="20" t="s">
        <v>255</v>
      </c>
      <c r="E101" s="22">
        <v>99639</v>
      </c>
      <c r="F101" s="20" t="s">
        <v>95</v>
      </c>
      <c r="G101" s="20"/>
    </row>
    <row r="102" spans="1:7" x14ac:dyDescent="0.3">
      <c r="A102" s="20" t="s">
        <v>101</v>
      </c>
      <c r="B102" s="20" t="s">
        <v>102</v>
      </c>
      <c r="C102" s="20" t="s">
        <v>188</v>
      </c>
      <c r="D102" s="20" t="s">
        <v>255</v>
      </c>
      <c r="E102" s="22">
        <v>22156</v>
      </c>
      <c r="F102" s="20" t="s">
        <v>95</v>
      </c>
      <c r="G102" s="20"/>
    </row>
    <row r="103" spans="1:7" x14ac:dyDescent="0.3">
      <c r="A103" s="20" t="s">
        <v>101</v>
      </c>
      <c r="B103" s="20" t="s">
        <v>102</v>
      </c>
      <c r="C103" s="20" t="s">
        <v>188</v>
      </c>
      <c r="D103" s="20" t="s">
        <v>256</v>
      </c>
      <c r="E103" s="22">
        <v>105</v>
      </c>
      <c r="F103" s="20" t="s">
        <v>95</v>
      </c>
      <c r="G103" s="20"/>
    </row>
    <row r="104" spans="1:7" x14ac:dyDescent="0.3">
      <c r="A104" s="20" t="s">
        <v>101</v>
      </c>
      <c r="B104" s="20" t="s">
        <v>102</v>
      </c>
      <c r="C104" s="20" t="s">
        <v>188</v>
      </c>
      <c r="D104" s="20" t="s">
        <v>257</v>
      </c>
      <c r="E104" s="22">
        <v>4392</v>
      </c>
      <c r="F104" s="20" t="s">
        <v>95</v>
      </c>
      <c r="G104" s="20"/>
    </row>
    <row r="105" spans="1:7" x14ac:dyDescent="0.3">
      <c r="A105" s="20" t="s">
        <v>101</v>
      </c>
      <c r="B105" s="20" t="s">
        <v>102</v>
      </c>
      <c r="C105" s="20" t="s">
        <v>188</v>
      </c>
      <c r="D105" s="20" t="s">
        <v>258</v>
      </c>
      <c r="E105" s="22">
        <v>4515</v>
      </c>
      <c r="F105" s="20" t="s">
        <v>95</v>
      </c>
      <c r="G105" s="20"/>
    </row>
    <row r="106" spans="1:7" x14ac:dyDescent="0.3">
      <c r="A106" s="20" t="s">
        <v>101</v>
      </c>
      <c r="B106" s="20" t="s">
        <v>102</v>
      </c>
      <c r="C106" s="20" t="s">
        <v>188</v>
      </c>
      <c r="D106" s="20" t="s">
        <v>259</v>
      </c>
      <c r="E106" s="22">
        <v>1077</v>
      </c>
      <c r="F106" s="20" t="s">
        <v>95</v>
      </c>
      <c r="G106" s="20"/>
    </row>
    <row r="107" spans="1:7" x14ac:dyDescent="0.3">
      <c r="A107" s="20" t="s">
        <v>101</v>
      </c>
      <c r="B107" s="20" t="s">
        <v>102</v>
      </c>
      <c r="C107" s="20" t="s">
        <v>188</v>
      </c>
      <c r="D107" s="20" t="s">
        <v>260</v>
      </c>
      <c r="E107" s="22">
        <v>10101</v>
      </c>
      <c r="F107" s="20" t="s">
        <v>95</v>
      </c>
      <c r="G107" s="20"/>
    </row>
    <row r="108" spans="1:7" x14ac:dyDescent="0.3">
      <c r="A108" s="20" t="s">
        <v>101</v>
      </c>
      <c r="B108" s="20" t="s">
        <v>102</v>
      </c>
      <c r="C108" s="20" t="s">
        <v>188</v>
      </c>
      <c r="D108" s="20" t="s">
        <v>261</v>
      </c>
      <c r="E108" s="22">
        <v>358</v>
      </c>
      <c r="F108" s="20" t="s">
        <v>95</v>
      </c>
      <c r="G108" s="20"/>
    </row>
    <row r="109" spans="1:7" x14ac:dyDescent="0.3">
      <c r="A109" s="20" t="s">
        <v>101</v>
      </c>
      <c r="B109" s="20" t="s">
        <v>102</v>
      </c>
      <c r="C109" s="20" t="s">
        <v>188</v>
      </c>
      <c r="D109" s="20" t="s">
        <v>261</v>
      </c>
      <c r="E109" s="22">
        <v>638</v>
      </c>
      <c r="F109" s="20" t="s">
        <v>95</v>
      </c>
      <c r="G109" s="20"/>
    </row>
    <row r="110" spans="1:7" x14ac:dyDescent="0.3">
      <c r="A110" s="20" t="s">
        <v>101</v>
      </c>
      <c r="B110" s="20" t="s">
        <v>102</v>
      </c>
      <c r="C110" s="20" t="s">
        <v>188</v>
      </c>
      <c r="D110" s="20" t="s">
        <v>261</v>
      </c>
      <c r="E110" s="22">
        <v>887</v>
      </c>
      <c r="F110" s="20" t="s">
        <v>95</v>
      </c>
      <c r="G110" s="20"/>
    </row>
    <row r="111" spans="1:7" x14ac:dyDescent="0.3">
      <c r="A111" s="20" t="s">
        <v>206</v>
      </c>
      <c r="B111" s="20" t="s">
        <v>207</v>
      </c>
      <c r="C111" s="20" t="s">
        <v>188</v>
      </c>
      <c r="D111" s="20" t="s">
        <v>262</v>
      </c>
      <c r="E111" s="22">
        <v>71456</v>
      </c>
      <c r="F111" s="20" t="s">
        <v>95</v>
      </c>
      <c r="G111" s="20"/>
    </row>
    <row r="112" spans="1:7" x14ac:dyDescent="0.3">
      <c r="A112" s="20" t="s">
        <v>101</v>
      </c>
      <c r="B112" s="20" t="s">
        <v>102</v>
      </c>
      <c r="C112" s="20" t="s">
        <v>188</v>
      </c>
      <c r="D112" s="20" t="s">
        <v>262</v>
      </c>
      <c r="E112" s="22">
        <v>580</v>
      </c>
      <c r="F112" s="20" t="s">
        <v>95</v>
      </c>
      <c r="G112" s="20"/>
    </row>
    <row r="113" spans="1:7" x14ac:dyDescent="0.3">
      <c r="A113" s="20" t="s">
        <v>101</v>
      </c>
      <c r="B113" s="20" t="s">
        <v>102</v>
      </c>
      <c r="C113" s="20" t="s">
        <v>188</v>
      </c>
      <c r="D113" s="20" t="s">
        <v>263</v>
      </c>
      <c r="E113" s="22">
        <v>1195</v>
      </c>
      <c r="F113" s="20" t="s">
        <v>95</v>
      </c>
      <c r="G113" s="20"/>
    </row>
    <row r="114" spans="1:7" x14ac:dyDescent="0.3">
      <c r="A114" s="20" t="s">
        <v>101</v>
      </c>
      <c r="B114" s="20" t="s">
        <v>102</v>
      </c>
      <c r="C114" s="20" t="s">
        <v>188</v>
      </c>
      <c r="D114" s="20" t="s">
        <v>263</v>
      </c>
      <c r="E114" s="22">
        <v>662</v>
      </c>
      <c r="F114" s="20" t="s">
        <v>95</v>
      </c>
      <c r="G114" s="20"/>
    </row>
    <row r="115" spans="1:7" x14ac:dyDescent="0.3">
      <c r="A115" s="20" t="s">
        <v>101</v>
      </c>
      <c r="B115" s="20" t="s">
        <v>102</v>
      </c>
      <c r="C115" s="20" t="s">
        <v>188</v>
      </c>
      <c r="D115" s="20" t="s">
        <v>263</v>
      </c>
      <c r="E115" s="22">
        <v>752</v>
      </c>
      <c r="F115" s="20" t="s">
        <v>95</v>
      </c>
      <c r="G115" s="20"/>
    </row>
    <row r="116" spans="1:7" x14ac:dyDescent="0.3">
      <c r="A116" s="20" t="s">
        <v>101</v>
      </c>
      <c r="B116" s="20" t="s">
        <v>102</v>
      </c>
      <c r="C116" s="20" t="s">
        <v>188</v>
      </c>
      <c r="D116" s="20" t="s">
        <v>263</v>
      </c>
      <c r="E116" s="22">
        <v>254</v>
      </c>
      <c r="F116" s="20" t="s">
        <v>95</v>
      </c>
      <c r="G116" s="20"/>
    </row>
    <row r="117" spans="1:7" x14ac:dyDescent="0.3">
      <c r="A117" s="20" t="s">
        <v>101</v>
      </c>
      <c r="B117" s="20" t="s">
        <v>102</v>
      </c>
      <c r="C117" s="20" t="s">
        <v>188</v>
      </c>
      <c r="D117" s="20" t="s">
        <v>263</v>
      </c>
      <c r="E117" s="22">
        <v>1773</v>
      </c>
      <c r="F117" s="20" t="s">
        <v>95</v>
      </c>
      <c r="G117" s="20"/>
    </row>
    <row r="118" spans="1:7" x14ac:dyDescent="0.3">
      <c r="A118" s="20" t="s">
        <v>101</v>
      </c>
      <c r="B118" s="20" t="s">
        <v>102</v>
      </c>
      <c r="C118" s="20" t="s">
        <v>188</v>
      </c>
      <c r="D118" s="20" t="s">
        <v>264</v>
      </c>
      <c r="E118" s="22">
        <v>920</v>
      </c>
      <c r="F118" s="20" t="s">
        <v>95</v>
      </c>
      <c r="G118" s="20"/>
    </row>
    <row r="119" spans="1:7" x14ac:dyDescent="0.3">
      <c r="A119" s="20" t="s">
        <v>101</v>
      </c>
      <c r="B119" s="20" t="s">
        <v>102</v>
      </c>
      <c r="C119" s="20" t="s">
        <v>188</v>
      </c>
      <c r="D119" s="20" t="s">
        <v>264</v>
      </c>
      <c r="E119" s="22">
        <v>24</v>
      </c>
      <c r="F119" s="20" t="s">
        <v>95</v>
      </c>
      <c r="G119" s="20"/>
    </row>
    <row r="120" spans="1:7" x14ac:dyDescent="0.3">
      <c r="A120" s="20" t="s">
        <v>101</v>
      </c>
      <c r="B120" s="20" t="s">
        <v>102</v>
      </c>
      <c r="C120" s="20" t="s">
        <v>188</v>
      </c>
      <c r="D120" s="20" t="s">
        <v>264</v>
      </c>
      <c r="E120" s="22">
        <v>938</v>
      </c>
      <c r="F120" s="20" t="s">
        <v>95</v>
      </c>
      <c r="G120" s="20"/>
    </row>
    <row r="121" spans="1:7" x14ac:dyDescent="0.3">
      <c r="A121" s="20" t="s">
        <v>101</v>
      </c>
      <c r="B121" s="20" t="s">
        <v>102</v>
      </c>
      <c r="C121" s="20" t="s">
        <v>188</v>
      </c>
      <c r="D121" s="20" t="s">
        <v>264</v>
      </c>
      <c r="E121" s="22">
        <v>3006</v>
      </c>
      <c r="F121" s="20" t="s">
        <v>95</v>
      </c>
      <c r="G121" s="20"/>
    </row>
    <row r="122" spans="1:7" x14ac:dyDescent="0.3">
      <c r="A122" s="20" t="s">
        <v>101</v>
      </c>
      <c r="B122" s="20" t="s">
        <v>102</v>
      </c>
      <c r="C122" s="20" t="s">
        <v>188</v>
      </c>
      <c r="D122" s="20" t="s">
        <v>265</v>
      </c>
      <c r="E122" s="22">
        <v>520</v>
      </c>
      <c r="F122" s="20" t="s">
        <v>95</v>
      </c>
      <c r="G122" s="20"/>
    </row>
    <row r="123" spans="1:7" x14ac:dyDescent="0.3">
      <c r="A123" s="20" t="s">
        <v>101</v>
      </c>
      <c r="B123" s="20" t="s">
        <v>102</v>
      </c>
      <c r="C123" s="20" t="s">
        <v>188</v>
      </c>
      <c r="D123" s="20" t="s">
        <v>64</v>
      </c>
      <c r="E123" s="22">
        <v>883</v>
      </c>
      <c r="F123" s="20" t="s">
        <v>95</v>
      </c>
      <c r="G123" s="20"/>
    </row>
    <row r="124" spans="1:7" x14ac:dyDescent="0.3">
      <c r="A124" s="20" t="s">
        <v>101</v>
      </c>
      <c r="B124" s="20" t="s">
        <v>102</v>
      </c>
      <c r="C124" s="20" t="s">
        <v>188</v>
      </c>
      <c r="D124" s="20" t="s">
        <v>64</v>
      </c>
      <c r="E124" s="22">
        <v>467</v>
      </c>
      <c r="F124" s="20" t="s">
        <v>95</v>
      </c>
      <c r="G124" s="20"/>
    </row>
    <row r="125" spans="1:7" x14ac:dyDescent="0.3">
      <c r="A125" s="20" t="s">
        <v>101</v>
      </c>
      <c r="B125" s="20" t="s">
        <v>102</v>
      </c>
      <c r="C125" s="20" t="s">
        <v>188</v>
      </c>
      <c r="D125" s="20" t="s">
        <v>266</v>
      </c>
      <c r="E125" s="22">
        <v>3470</v>
      </c>
      <c r="F125" s="20" t="s">
        <v>95</v>
      </c>
      <c r="G125" s="20"/>
    </row>
    <row r="126" spans="1:7" x14ac:dyDescent="0.3">
      <c r="A126" s="20" t="s">
        <v>101</v>
      </c>
      <c r="B126" s="20" t="s">
        <v>102</v>
      </c>
      <c r="C126" s="20" t="s">
        <v>188</v>
      </c>
      <c r="D126" s="20" t="s">
        <v>266</v>
      </c>
      <c r="E126" s="22">
        <v>664</v>
      </c>
      <c r="F126" s="20" t="s">
        <v>95</v>
      </c>
      <c r="G126" s="20"/>
    </row>
    <row r="127" spans="1:7" x14ac:dyDescent="0.3">
      <c r="A127" s="20" t="s">
        <v>101</v>
      </c>
      <c r="B127" s="20" t="s">
        <v>102</v>
      </c>
      <c r="C127" s="20" t="s">
        <v>188</v>
      </c>
      <c r="D127" s="20" t="s">
        <v>267</v>
      </c>
      <c r="E127" s="22">
        <v>1492</v>
      </c>
      <c r="F127" s="20" t="s">
        <v>95</v>
      </c>
      <c r="G127" s="20"/>
    </row>
    <row r="128" spans="1:7" x14ac:dyDescent="0.3">
      <c r="A128" s="20" t="s">
        <v>101</v>
      </c>
      <c r="B128" s="20" t="s">
        <v>102</v>
      </c>
      <c r="C128" s="20" t="s">
        <v>188</v>
      </c>
      <c r="D128" s="20" t="s">
        <v>267</v>
      </c>
      <c r="E128" s="22">
        <v>3420</v>
      </c>
      <c r="F128" s="20" t="s">
        <v>95</v>
      </c>
      <c r="G128" s="20"/>
    </row>
    <row r="129" spans="1:7" x14ac:dyDescent="0.3">
      <c r="A129" s="20" t="s">
        <v>101</v>
      </c>
      <c r="B129" s="20" t="s">
        <v>102</v>
      </c>
      <c r="C129" s="20" t="s">
        <v>188</v>
      </c>
      <c r="D129" s="20" t="s">
        <v>267</v>
      </c>
      <c r="E129" s="22">
        <v>85</v>
      </c>
      <c r="F129" s="20" t="s">
        <v>95</v>
      </c>
      <c r="G129" s="20"/>
    </row>
    <row r="130" spans="1:7" x14ac:dyDescent="0.3">
      <c r="A130" s="20" t="s">
        <v>101</v>
      </c>
      <c r="B130" s="20" t="s">
        <v>102</v>
      </c>
      <c r="C130" s="20" t="s">
        <v>188</v>
      </c>
      <c r="D130" s="20" t="s">
        <v>267</v>
      </c>
      <c r="E130" s="22">
        <v>174</v>
      </c>
      <c r="F130" s="20" t="s">
        <v>95</v>
      </c>
      <c r="G130" s="20"/>
    </row>
    <row r="131" spans="1:7" x14ac:dyDescent="0.3">
      <c r="A131" s="20" t="s">
        <v>101</v>
      </c>
      <c r="B131" s="20" t="s">
        <v>102</v>
      </c>
      <c r="C131" s="20" t="s">
        <v>188</v>
      </c>
      <c r="D131" s="20" t="s">
        <v>267</v>
      </c>
      <c r="E131" s="22">
        <v>3902</v>
      </c>
      <c r="F131" s="20" t="s">
        <v>95</v>
      </c>
      <c r="G131" s="20"/>
    </row>
    <row r="132" spans="1:7" x14ac:dyDescent="0.3">
      <c r="A132" s="20" t="s">
        <v>101</v>
      </c>
      <c r="B132" s="20" t="s">
        <v>102</v>
      </c>
      <c r="C132" s="20" t="s">
        <v>188</v>
      </c>
      <c r="D132" s="20" t="s">
        <v>159</v>
      </c>
      <c r="E132" s="22">
        <v>1046</v>
      </c>
      <c r="F132" s="20" t="s">
        <v>95</v>
      </c>
      <c r="G132" s="20"/>
    </row>
    <row r="133" spans="1:7" x14ac:dyDescent="0.3">
      <c r="A133" s="20" t="s">
        <v>101</v>
      </c>
      <c r="B133" s="20" t="s">
        <v>102</v>
      </c>
      <c r="C133" s="20" t="s">
        <v>188</v>
      </c>
      <c r="D133" s="20" t="s">
        <v>268</v>
      </c>
      <c r="E133" s="22">
        <v>3522</v>
      </c>
      <c r="F133" s="20" t="s">
        <v>95</v>
      </c>
      <c r="G133" s="20"/>
    </row>
    <row r="134" spans="1:7" x14ac:dyDescent="0.3">
      <c r="A134" s="20" t="s">
        <v>101</v>
      </c>
      <c r="B134" s="20" t="s">
        <v>102</v>
      </c>
      <c r="C134" s="20" t="s">
        <v>188</v>
      </c>
      <c r="D134" s="20" t="s">
        <v>268</v>
      </c>
      <c r="E134" s="22">
        <v>352</v>
      </c>
      <c r="F134" s="20" t="s">
        <v>95</v>
      </c>
      <c r="G134" s="20"/>
    </row>
    <row r="135" spans="1:7" x14ac:dyDescent="0.3">
      <c r="A135" s="20" t="s">
        <v>101</v>
      </c>
      <c r="B135" s="20" t="s">
        <v>102</v>
      </c>
      <c r="C135" s="20" t="s">
        <v>188</v>
      </c>
      <c r="D135" s="20" t="s">
        <v>268</v>
      </c>
      <c r="E135" s="22">
        <v>246</v>
      </c>
      <c r="F135" s="20" t="s">
        <v>95</v>
      </c>
      <c r="G135" s="20"/>
    </row>
    <row r="136" spans="1:7" x14ac:dyDescent="0.3">
      <c r="A136" s="20" t="s">
        <v>101</v>
      </c>
      <c r="B136" s="20" t="s">
        <v>102</v>
      </c>
      <c r="C136" s="20" t="s">
        <v>188</v>
      </c>
      <c r="D136" s="20" t="s">
        <v>268</v>
      </c>
      <c r="E136" s="22">
        <v>763</v>
      </c>
      <c r="F136" s="20" t="s">
        <v>95</v>
      </c>
      <c r="G136" s="20"/>
    </row>
    <row r="137" spans="1:7" x14ac:dyDescent="0.3">
      <c r="A137" s="20" t="s">
        <v>101</v>
      </c>
      <c r="B137" s="20" t="s">
        <v>102</v>
      </c>
      <c r="C137" s="20" t="s">
        <v>188</v>
      </c>
      <c r="D137" s="20" t="s">
        <v>269</v>
      </c>
      <c r="E137" s="22">
        <v>69</v>
      </c>
      <c r="F137" s="20" t="s">
        <v>95</v>
      </c>
      <c r="G137" s="20"/>
    </row>
    <row r="138" spans="1:7" x14ac:dyDescent="0.3">
      <c r="A138" s="20" t="s">
        <v>91</v>
      </c>
      <c r="B138" s="20" t="s">
        <v>92</v>
      </c>
      <c r="C138" s="20" t="s">
        <v>188</v>
      </c>
      <c r="D138" s="20" t="s">
        <v>270</v>
      </c>
      <c r="E138" s="22">
        <v>33084</v>
      </c>
      <c r="F138" s="20" t="s">
        <v>95</v>
      </c>
      <c r="G138" s="20"/>
    </row>
    <row r="139" spans="1:7" x14ac:dyDescent="0.3">
      <c r="A139" s="20" t="s">
        <v>192</v>
      </c>
      <c r="B139" s="20" t="s">
        <v>193</v>
      </c>
      <c r="C139" s="20" t="s">
        <v>188</v>
      </c>
      <c r="D139" s="20" t="s">
        <v>270</v>
      </c>
      <c r="E139" s="22">
        <v>199700</v>
      </c>
      <c r="F139" s="20" t="s">
        <v>95</v>
      </c>
      <c r="G139" s="20"/>
    </row>
    <row r="140" spans="1:7" x14ac:dyDescent="0.3">
      <c r="A140" s="20" t="s">
        <v>202</v>
      </c>
      <c r="B140" s="20" t="s">
        <v>203</v>
      </c>
      <c r="C140" s="20" t="s">
        <v>188</v>
      </c>
      <c r="D140" s="20" t="s">
        <v>271</v>
      </c>
      <c r="E140" s="22">
        <v>76850</v>
      </c>
      <c r="F140" s="20" t="s">
        <v>95</v>
      </c>
      <c r="G140" s="20"/>
    </row>
    <row r="141" spans="1:7" x14ac:dyDescent="0.3">
      <c r="A141" s="20" t="s">
        <v>101</v>
      </c>
      <c r="B141" s="20" t="s">
        <v>102</v>
      </c>
      <c r="C141" s="20" t="s">
        <v>188</v>
      </c>
      <c r="D141" s="20" t="s">
        <v>67</v>
      </c>
      <c r="E141" s="22">
        <v>338</v>
      </c>
      <c r="F141" s="20" t="s">
        <v>95</v>
      </c>
      <c r="G141" s="20"/>
    </row>
    <row r="142" spans="1:7" x14ac:dyDescent="0.3">
      <c r="A142" s="20" t="s">
        <v>101</v>
      </c>
      <c r="B142" s="20" t="s">
        <v>102</v>
      </c>
      <c r="C142" s="20" t="s">
        <v>188</v>
      </c>
      <c r="D142" s="20" t="s">
        <v>182</v>
      </c>
      <c r="E142" s="22">
        <v>243</v>
      </c>
      <c r="F142" s="20" t="s">
        <v>95</v>
      </c>
      <c r="G142" s="20"/>
    </row>
    <row r="143" spans="1:7" x14ac:dyDescent="0.3">
      <c r="A143" s="20" t="s">
        <v>101</v>
      </c>
      <c r="B143" s="20" t="s">
        <v>102</v>
      </c>
      <c r="C143" s="20" t="s">
        <v>188</v>
      </c>
      <c r="D143" s="20" t="s">
        <v>272</v>
      </c>
      <c r="E143" s="22">
        <v>463</v>
      </c>
      <c r="F143" s="20" t="s">
        <v>95</v>
      </c>
      <c r="G143" s="20"/>
    </row>
    <row r="144" spans="1:7" x14ac:dyDescent="0.3">
      <c r="A144" s="20" t="s">
        <v>101</v>
      </c>
      <c r="B144" s="20" t="s">
        <v>102</v>
      </c>
      <c r="C144" s="20" t="s">
        <v>188</v>
      </c>
      <c r="D144" s="20" t="s">
        <v>58</v>
      </c>
      <c r="E144" s="22">
        <v>112</v>
      </c>
      <c r="F144" s="20" t="s">
        <v>95</v>
      </c>
      <c r="G144" s="20"/>
    </row>
    <row r="145" spans="1:7" x14ac:dyDescent="0.3">
      <c r="A145" s="20" t="s">
        <v>101</v>
      </c>
      <c r="B145" s="20" t="s">
        <v>102</v>
      </c>
      <c r="C145" s="20" t="s">
        <v>188</v>
      </c>
      <c r="D145" s="20" t="s">
        <v>273</v>
      </c>
      <c r="E145" s="22">
        <v>1817</v>
      </c>
      <c r="F145" s="20" t="s">
        <v>95</v>
      </c>
      <c r="G145" s="20"/>
    </row>
    <row r="146" spans="1:7" x14ac:dyDescent="0.3">
      <c r="A146" s="20" t="s">
        <v>101</v>
      </c>
      <c r="B146" s="20" t="s">
        <v>102</v>
      </c>
      <c r="C146" s="20" t="s">
        <v>188</v>
      </c>
      <c r="D146" s="20" t="s">
        <v>274</v>
      </c>
      <c r="E146" s="22">
        <v>2464</v>
      </c>
      <c r="F146" s="20" t="s">
        <v>95</v>
      </c>
      <c r="G146" s="20"/>
    </row>
    <row r="147" spans="1:7" x14ac:dyDescent="0.3">
      <c r="A147" s="20" t="s">
        <v>101</v>
      </c>
      <c r="B147" s="20" t="s">
        <v>102</v>
      </c>
      <c r="C147" s="20" t="s">
        <v>188</v>
      </c>
      <c r="D147" s="20" t="s">
        <v>274</v>
      </c>
      <c r="E147" s="22">
        <v>670</v>
      </c>
      <c r="F147" s="20" t="s">
        <v>95</v>
      </c>
      <c r="G147" s="20"/>
    </row>
    <row r="148" spans="1:7" x14ac:dyDescent="0.3">
      <c r="A148" s="20" t="s">
        <v>101</v>
      </c>
      <c r="B148" s="20" t="s">
        <v>102</v>
      </c>
      <c r="C148" s="20" t="s">
        <v>188</v>
      </c>
      <c r="D148" s="20" t="s">
        <v>275</v>
      </c>
      <c r="E148" s="22">
        <v>751</v>
      </c>
      <c r="F148" s="20" t="s">
        <v>95</v>
      </c>
      <c r="G148" s="20"/>
    </row>
    <row r="149" spans="1:7" x14ac:dyDescent="0.3">
      <c r="A149" s="20" t="s">
        <v>101</v>
      </c>
      <c r="B149" s="20" t="s">
        <v>102</v>
      </c>
      <c r="C149" s="20" t="s">
        <v>188</v>
      </c>
      <c r="D149" s="20" t="s">
        <v>276</v>
      </c>
      <c r="E149" s="22">
        <v>498</v>
      </c>
      <c r="F149" s="20" t="s">
        <v>95</v>
      </c>
      <c r="G149" s="20"/>
    </row>
    <row r="150" spans="1:7" x14ac:dyDescent="0.3">
      <c r="A150" s="20" t="s">
        <v>101</v>
      </c>
      <c r="B150" s="20" t="s">
        <v>102</v>
      </c>
      <c r="C150" s="20" t="s">
        <v>188</v>
      </c>
      <c r="D150" s="20" t="s">
        <v>276</v>
      </c>
      <c r="E150" s="22">
        <v>1352</v>
      </c>
      <c r="F150" s="20" t="s">
        <v>95</v>
      </c>
      <c r="G150" s="20"/>
    </row>
    <row r="151" spans="1:7" x14ac:dyDescent="0.3">
      <c r="A151" s="20" t="s">
        <v>101</v>
      </c>
      <c r="B151" s="20" t="s">
        <v>102</v>
      </c>
      <c r="C151" s="20" t="s">
        <v>188</v>
      </c>
      <c r="D151" s="20" t="s">
        <v>161</v>
      </c>
      <c r="E151" s="22">
        <v>509</v>
      </c>
      <c r="F151" s="20" t="s">
        <v>95</v>
      </c>
      <c r="G151" s="20"/>
    </row>
    <row r="152" spans="1:7" x14ac:dyDescent="0.3">
      <c r="A152" s="20" t="s">
        <v>101</v>
      </c>
      <c r="B152" s="20" t="s">
        <v>102</v>
      </c>
      <c r="C152" s="20" t="s">
        <v>188</v>
      </c>
      <c r="D152" s="20" t="s">
        <v>161</v>
      </c>
      <c r="E152" s="22">
        <v>887</v>
      </c>
      <c r="F152" s="20" t="s">
        <v>95</v>
      </c>
      <c r="G152" s="20"/>
    </row>
    <row r="153" spans="1:7" x14ac:dyDescent="0.3">
      <c r="A153" s="20" t="s">
        <v>101</v>
      </c>
      <c r="B153" s="20" t="s">
        <v>102</v>
      </c>
      <c r="C153" s="20" t="s">
        <v>188</v>
      </c>
      <c r="D153" s="20" t="s">
        <v>277</v>
      </c>
      <c r="E153" s="22">
        <v>492</v>
      </c>
      <c r="F153" s="20" t="s">
        <v>95</v>
      </c>
      <c r="G153" s="20"/>
    </row>
    <row r="154" spans="1:7" x14ac:dyDescent="0.3">
      <c r="A154" s="20" t="s">
        <v>101</v>
      </c>
      <c r="B154" s="20" t="s">
        <v>102</v>
      </c>
      <c r="C154" s="20" t="s">
        <v>188</v>
      </c>
      <c r="D154" s="20" t="s">
        <v>278</v>
      </c>
      <c r="E154" s="22">
        <v>1377</v>
      </c>
      <c r="F154" s="20" t="s">
        <v>95</v>
      </c>
      <c r="G154" s="20"/>
    </row>
    <row r="155" spans="1:7" x14ac:dyDescent="0.3">
      <c r="A155" s="20" t="s">
        <v>101</v>
      </c>
      <c r="B155" s="20" t="s">
        <v>102</v>
      </c>
      <c r="C155" s="20" t="s">
        <v>188</v>
      </c>
      <c r="D155" s="20" t="s">
        <v>279</v>
      </c>
      <c r="E155" s="22">
        <v>1200</v>
      </c>
      <c r="F155" s="20" t="s">
        <v>95</v>
      </c>
      <c r="G155" s="20"/>
    </row>
    <row r="156" spans="1:7" x14ac:dyDescent="0.3">
      <c r="A156" s="20" t="s">
        <v>101</v>
      </c>
      <c r="B156" s="20" t="s">
        <v>102</v>
      </c>
      <c r="C156" s="20" t="s">
        <v>188</v>
      </c>
      <c r="D156" s="20" t="s">
        <v>279</v>
      </c>
      <c r="E156" s="22">
        <v>837</v>
      </c>
      <c r="F156" s="20" t="s">
        <v>95</v>
      </c>
      <c r="G156" s="20"/>
    </row>
    <row r="157" spans="1:7" x14ac:dyDescent="0.3">
      <c r="A157" s="20" t="s">
        <v>101</v>
      </c>
      <c r="B157" s="20" t="s">
        <v>102</v>
      </c>
      <c r="C157" s="20" t="s">
        <v>188</v>
      </c>
      <c r="D157" s="20" t="s">
        <v>279</v>
      </c>
      <c r="E157" s="22">
        <v>395</v>
      </c>
      <c r="F157" s="20" t="s">
        <v>95</v>
      </c>
      <c r="G157" s="20"/>
    </row>
    <row r="158" spans="1:7" x14ac:dyDescent="0.3">
      <c r="A158" s="20" t="s">
        <v>211</v>
      </c>
      <c r="B158" s="20" t="s">
        <v>212</v>
      </c>
      <c r="C158" s="20" t="s">
        <v>188</v>
      </c>
      <c r="D158" s="20" t="s">
        <v>280</v>
      </c>
      <c r="E158" s="22">
        <v>90385</v>
      </c>
      <c r="F158" s="20" t="s">
        <v>95</v>
      </c>
      <c r="G158" s="20"/>
    </row>
    <row r="159" spans="1:7" x14ac:dyDescent="0.3">
      <c r="A159" s="20" t="s">
        <v>101</v>
      </c>
      <c r="B159" s="20" t="s">
        <v>102</v>
      </c>
      <c r="C159" s="20" t="s">
        <v>188</v>
      </c>
      <c r="D159" s="20" t="s">
        <v>280</v>
      </c>
      <c r="E159" s="22">
        <v>7716</v>
      </c>
      <c r="F159" s="20" t="s">
        <v>95</v>
      </c>
      <c r="G159" s="20"/>
    </row>
    <row r="160" spans="1:7" x14ac:dyDescent="0.3">
      <c r="A160" s="20" t="s">
        <v>101</v>
      </c>
      <c r="B160" s="20" t="s">
        <v>102</v>
      </c>
      <c r="C160" s="20" t="s">
        <v>188</v>
      </c>
      <c r="D160" s="20" t="s">
        <v>281</v>
      </c>
      <c r="E160" s="22">
        <v>110</v>
      </c>
      <c r="F160" s="20" t="s">
        <v>95</v>
      </c>
      <c r="G160" s="20"/>
    </row>
    <row r="161" spans="1:7" x14ac:dyDescent="0.3">
      <c r="A161" s="20" t="s">
        <v>101</v>
      </c>
      <c r="B161" s="20" t="s">
        <v>102</v>
      </c>
      <c r="C161" s="20" t="s">
        <v>188</v>
      </c>
      <c r="D161" s="20" t="s">
        <v>282</v>
      </c>
      <c r="E161" s="22">
        <v>729</v>
      </c>
      <c r="F161" s="20" t="s">
        <v>95</v>
      </c>
      <c r="G161" s="20"/>
    </row>
    <row r="162" spans="1:7" x14ac:dyDescent="0.3">
      <c r="A162" s="20" t="s">
        <v>101</v>
      </c>
      <c r="B162" s="20" t="s">
        <v>102</v>
      </c>
      <c r="C162" s="20" t="s">
        <v>188</v>
      </c>
      <c r="D162" s="20" t="s">
        <v>282</v>
      </c>
      <c r="E162" s="22">
        <v>778</v>
      </c>
      <c r="F162" s="20" t="s">
        <v>95</v>
      </c>
      <c r="G162" s="20"/>
    </row>
    <row r="163" spans="1:7" x14ac:dyDescent="0.3">
      <c r="A163" s="20" t="s">
        <v>101</v>
      </c>
      <c r="B163" s="20" t="s">
        <v>102</v>
      </c>
      <c r="C163" s="20" t="s">
        <v>188</v>
      </c>
      <c r="D163" s="24">
        <v>46045</v>
      </c>
      <c r="E163" s="22">
        <v>729</v>
      </c>
      <c r="F163" s="20" t="s">
        <v>95</v>
      </c>
      <c r="G163" s="20"/>
    </row>
    <row r="164" spans="1:7" x14ac:dyDescent="0.3">
      <c r="A164" s="20" t="s">
        <v>101</v>
      </c>
      <c r="B164" s="20" t="s">
        <v>102</v>
      </c>
      <c r="C164" s="20" t="s">
        <v>188</v>
      </c>
      <c r="D164" s="24">
        <v>46045</v>
      </c>
      <c r="E164" s="22">
        <v>778</v>
      </c>
      <c r="F164" s="20" t="s">
        <v>95</v>
      </c>
      <c r="G164" s="20"/>
    </row>
    <row r="165" spans="1:7" x14ac:dyDescent="0.3">
      <c r="A165" s="20" t="s">
        <v>202</v>
      </c>
      <c r="B165" s="20" t="s">
        <v>203</v>
      </c>
      <c r="C165" s="20" t="s">
        <v>188</v>
      </c>
      <c r="D165" s="25">
        <v>46104</v>
      </c>
      <c r="E165" s="22">
        <v>133371</v>
      </c>
      <c r="F165" s="20" t="s">
        <v>95</v>
      </c>
      <c r="G165" s="20"/>
    </row>
    <row r="166" spans="1:7" x14ac:dyDescent="0.3">
      <c r="A166" s="20" t="s">
        <v>101</v>
      </c>
      <c r="B166" s="20" t="s">
        <v>102</v>
      </c>
      <c r="C166" s="20" t="s">
        <v>188</v>
      </c>
      <c r="D166" s="25">
        <v>46107</v>
      </c>
      <c r="E166" s="22">
        <v>22201</v>
      </c>
      <c r="F166" s="20" t="s">
        <v>95</v>
      </c>
      <c r="G166" s="20"/>
    </row>
    <row r="167" spans="1:7" x14ac:dyDescent="0.3">
      <c r="A167" s="20" t="s">
        <v>101</v>
      </c>
      <c r="B167" s="20" t="s">
        <v>102</v>
      </c>
      <c r="C167" s="20" t="s">
        <v>188</v>
      </c>
      <c r="D167" s="25">
        <v>46112</v>
      </c>
      <c r="E167" s="22">
        <v>109</v>
      </c>
      <c r="F167" s="20" t="s">
        <v>95</v>
      </c>
      <c r="G167" s="20"/>
    </row>
    <row r="168" spans="1:7" x14ac:dyDescent="0.3">
      <c r="A168" s="20" t="s">
        <v>101</v>
      </c>
      <c r="B168" s="20" t="s">
        <v>102</v>
      </c>
      <c r="C168" s="20" t="s">
        <v>188</v>
      </c>
      <c r="D168" s="25">
        <v>46132</v>
      </c>
      <c r="E168" s="22">
        <v>4025</v>
      </c>
      <c r="F168" s="20" t="s">
        <v>95</v>
      </c>
      <c r="G168" s="20"/>
    </row>
    <row r="169" spans="1:7" x14ac:dyDescent="0.3">
      <c r="A169" s="20" t="s">
        <v>101</v>
      </c>
      <c r="B169" s="20" t="s">
        <v>102</v>
      </c>
      <c r="C169" s="20" t="s">
        <v>188</v>
      </c>
      <c r="D169" s="25">
        <v>46136</v>
      </c>
      <c r="E169" s="22">
        <v>67</v>
      </c>
      <c r="F169" s="20" t="s">
        <v>95</v>
      </c>
      <c r="G169" s="20"/>
    </row>
    <row r="170" spans="1:7" x14ac:dyDescent="0.3">
      <c r="A170" s="20" t="s">
        <v>101</v>
      </c>
      <c r="B170" s="20" t="s">
        <v>102</v>
      </c>
      <c r="C170" s="20" t="s">
        <v>188</v>
      </c>
      <c r="D170" s="25">
        <v>46136</v>
      </c>
      <c r="E170" s="22">
        <v>380</v>
      </c>
      <c r="F170" s="20" t="s">
        <v>95</v>
      </c>
      <c r="G170" s="20"/>
    </row>
    <row r="171" spans="1:7" x14ac:dyDescent="0.3">
      <c r="A171" s="20" t="s">
        <v>101</v>
      </c>
      <c r="B171" s="20" t="s">
        <v>102</v>
      </c>
      <c r="C171" s="20" t="s">
        <v>188</v>
      </c>
      <c r="D171" s="25">
        <v>46141</v>
      </c>
      <c r="E171" s="22">
        <v>745</v>
      </c>
      <c r="F171" s="20" t="s">
        <v>95</v>
      </c>
      <c r="G171" s="20"/>
    </row>
    <row r="172" spans="1:7" x14ac:dyDescent="0.3">
      <c r="A172" s="20" t="s">
        <v>101</v>
      </c>
      <c r="B172" s="20" t="s">
        <v>102</v>
      </c>
      <c r="C172" s="20" t="s">
        <v>188</v>
      </c>
      <c r="D172" s="25">
        <v>46141</v>
      </c>
      <c r="E172" s="22">
        <v>677</v>
      </c>
      <c r="F172" s="20" t="s">
        <v>95</v>
      </c>
      <c r="G172" s="20"/>
    </row>
    <row r="173" spans="1:7" x14ac:dyDescent="0.3">
      <c r="A173" s="20" t="s">
        <v>101</v>
      </c>
      <c r="B173" s="20" t="s">
        <v>102</v>
      </c>
      <c r="C173" s="20" t="s">
        <v>188</v>
      </c>
      <c r="D173" s="25">
        <v>46142</v>
      </c>
      <c r="E173" s="22">
        <v>1335</v>
      </c>
      <c r="F173" s="20" t="s">
        <v>95</v>
      </c>
      <c r="G173" s="20"/>
    </row>
    <row r="174" spans="1:7" x14ac:dyDescent="0.3">
      <c r="A174" s="20" t="s">
        <v>101</v>
      </c>
      <c r="B174" s="20" t="s">
        <v>102</v>
      </c>
      <c r="C174" s="20" t="s">
        <v>188</v>
      </c>
      <c r="D174" s="25">
        <v>46142</v>
      </c>
      <c r="E174" s="22">
        <v>905</v>
      </c>
      <c r="F174" s="20" t="s">
        <v>95</v>
      </c>
      <c r="G174" s="20"/>
    </row>
    <row r="175" spans="1:7" x14ac:dyDescent="0.3">
      <c r="A175" s="20" t="s">
        <v>101</v>
      </c>
      <c r="B175" s="20" t="s">
        <v>102</v>
      </c>
      <c r="C175" s="20" t="s">
        <v>188</v>
      </c>
      <c r="D175" s="25">
        <v>46148</v>
      </c>
      <c r="E175" s="22">
        <v>9923</v>
      </c>
      <c r="F175" s="20" t="s">
        <v>95</v>
      </c>
      <c r="G175" s="20"/>
    </row>
    <row r="176" spans="1:7" x14ac:dyDescent="0.3">
      <c r="A176" s="20" t="s">
        <v>101</v>
      </c>
      <c r="B176" s="20" t="s">
        <v>102</v>
      </c>
      <c r="C176" s="20" t="s">
        <v>188</v>
      </c>
      <c r="D176" s="25">
        <v>46148</v>
      </c>
      <c r="E176" s="22">
        <v>692</v>
      </c>
      <c r="F176" s="20" t="s">
        <v>95</v>
      </c>
      <c r="G176" s="20"/>
    </row>
    <row r="177" spans="1:6" x14ac:dyDescent="0.3">
      <c r="A177" s="20" t="s">
        <v>101</v>
      </c>
      <c r="B177" s="20" t="s">
        <v>102</v>
      </c>
      <c r="C177" s="20" t="s">
        <v>188</v>
      </c>
      <c r="D177" s="25">
        <v>46148</v>
      </c>
      <c r="E177" s="22">
        <v>179</v>
      </c>
      <c r="F177" s="20" t="s">
        <v>95</v>
      </c>
    </row>
    <row r="178" spans="1:6" x14ac:dyDescent="0.3">
      <c r="A178" s="20" t="s">
        <v>101</v>
      </c>
      <c r="B178" s="20" t="s">
        <v>102</v>
      </c>
      <c r="C178" s="20" t="s">
        <v>188</v>
      </c>
      <c r="D178" s="25">
        <v>46154</v>
      </c>
      <c r="E178" s="22">
        <v>498</v>
      </c>
      <c r="F178" s="20" t="s">
        <v>95</v>
      </c>
    </row>
    <row r="179" spans="1:6" x14ac:dyDescent="0.3">
      <c r="A179" s="20" t="s">
        <v>101</v>
      </c>
      <c r="B179" s="20" t="s">
        <v>102</v>
      </c>
      <c r="C179" s="20" t="s">
        <v>188</v>
      </c>
      <c r="D179" s="25">
        <v>46154</v>
      </c>
      <c r="E179" s="22">
        <v>341</v>
      </c>
      <c r="F179" s="20" t="s">
        <v>95</v>
      </c>
    </row>
    <row r="180" spans="1:6" x14ac:dyDescent="0.3">
      <c r="A180" s="20" t="s">
        <v>211</v>
      </c>
      <c r="B180" s="20" t="s">
        <v>212</v>
      </c>
      <c r="C180" s="20" t="s">
        <v>188</v>
      </c>
      <c r="D180" s="25">
        <v>46156</v>
      </c>
      <c r="E180" s="22">
        <v>7548</v>
      </c>
      <c r="F180" s="20" t="s">
        <v>95</v>
      </c>
    </row>
    <row r="181" spans="1:6" x14ac:dyDescent="0.3">
      <c r="A181" s="20" t="s">
        <v>101</v>
      </c>
      <c r="B181" s="20" t="s">
        <v>102</v>
      </c>
      <c r="C181" s="20" t="s">
        <v>188</v>
      </c>
      <c r="D181" s="25">
        <v>46156</v>
      </c>
      <c r="E181" s="22">
        <v>1451</v>
      </c>
      <c r="F181" s="20" t="s">
        <v>95</v>
      </c>
    </row>
    <row r="182" spans="1:6" x14ac:dyDescent="0.3">
      <c r="A182" s="20" t="s">
        <v>101</v>
      </c>
      <c r="B182" s="20" t="s">
        <v>102</v>
      </c>
      <c r="C182" s="20" t="s">
        <v>188</v>
      </c>
      <c r="D182" s="25">
        <v>46156</v>
      </c>
      <c r="E182" s="22">
        <v>499</v>
      </c>
      <c r="F182" s="20" t="s">
        <v>95</v>
      </c>
    </row>
    <row r="183" spans="1:6" x14ac:dyDescent="0.3">
      <c r="A183" s="20" t="s">
        <v>101</v>
      </c>
      <c r="B183" s="20" t="s">
        <v>102</v>
      </c>
      <c r="C183" s="20" t="s">
        <v>188</v>
      </c>
      <c r="D183" s="25">
        <v>46156</v>
      </c>
      <c r="E183" s="22">
        <v>640</v>
      </c>
      <c r="F183" s="20" t="s">
        <v>95</v>
      </c>
    </row>
    <row r="184" spans="1:6" x14ac:dyDescent="0.3">
      <c r="A184" s="20" t="s">
        <v>101</v>
      </c>
      <c r="B184" s="20" t="s">
        <v>102</v>
      </c>
      <c r="C184" s="20" t="s">
        <v>188</v>
      </c>
      <c r="D184" s="25">
        <v>46156</v>
      </c>
      <c r="E184" s="22">
        <v>6247</v>
      </c>
      <c r="F184" s="20" t="s">
        <v>95</v>
      </c>
    </row>
    <row r="185" spans="1:6" x14ac:dyDescent="0.3">
      <c r="A185" s="20" t="s">
        <v>101</v>
      </c>
      <c r="B185" s="20" t="s">
        <v>102</v>
      </c>
      <c r="C185" s="20" t="s">
        <v>188</v>
      </c>
      <c r="D185" s="25">
        <v>46156</v>
      </c>
      <c r="E185" s="22">
        <v>1949</v>
      </c>
      <c r="F185" s="20" t="s">
        <v>95</v>
      </c>
    </row>
    <row r="186" spans="1:6" x14ac:dyDescent="0.3">
      <c r="A186" s="20" t="s">
        <v>101</v>
      </c>
      <c r="B186" s="20" t="s">
        <v>102</v>
      </c>
      <c r="C186" s="20" t="s">
        <v>188</v>
      </c>
      <c r="D186" s="25">
        <v>46156</v>
      </c>
      <c r="E186" s="22">
        <v>1472</v>
      </c>
      <c r="F186" s="20" t="s">
        <v>95</v>
      </c>
    </row>
    <row r="187" spans="1:6" x14ac:dyDescent="0.3">
      <c r="A187" s="20" t="s">
        <v>101</v>
      </c>
      <c r="B187" s="20" t="s">
        <v>102</v>
      </c>
      <c r="C187" s="20" t="s">
        <v>188</v>
      </c>
      <c r="D187" s="25">
        <v>46156</v>
      </c>
      <c r="E187" s="22">
        <v>708</v>
      </c>
      <c r="F187" s="20" t="s">
        <v>95</v>
      </c>
    </row>
    <row r="188" spans="1:6" x14ac:dyDescent="0.3">
      <c r="A188" s="20" t="s">
        <v>101</v>
      </c>
      <c r="B188" s="20" t="s">
        <v>102</v>
      </c>
      <c r="C188" s="20" t="s">
        <v>188</v>
      </c>
      <c r="D188" s="25">
        <v>46156</v>
      </c>
      <c r="E188" s="22">
        <v>270</v>
      </c>
      <c r="F188" s="20" t="s">
        <v>95</v>
      </c>
    </row>
    <row r="189" spans="1:6" x14ac:dyDescent="0.3">
      <c r="A189" s="20" t="s">
        <v>101</v>
      </c>
      <c r="B189" s="20" t="s">
        <v>102</v>
      </c>
      <c r="C189" s="20" t="s">
        <v>188</v>
      </c>
      <c r="D189" s="25">
        <v>46156</v>
      </c>
      <c r="E189" s="22">
        <v>3897</v>
      </c>
      <c r="F189" s="20" t="s">
        <v>95</v>
      </c>
    </row>
    <row r="190" spans="1:6" x14ac:dyDescent="0.3">
      <c r="A190" s="20" t="s">
        <v>101</v>
      </c>
      <c r="B190" s="20" t="s">
        <v>102</v>
      </c>
      <c r="C190" s="20" t="s">
        <v>188</v>
      </c>
      <c r="D190" s="25">
        <v>46156</v>
      </c>
      <c r="E190" s="22">
        <v>852</v>
      </c>
      <c r="F190" s="20" t="s">
        <v>95</v>
      </c>
    </row>
    <row r="191" spans="1:6" x14ac:dyDescent="0.3">
      <c r="A191" s="20" t="s">
        <v>101</v>
      </c>
      <c r="B191" s="20" t="s">
        <v>102</v>
      </c>
      <c r="C191" s="20" t="s">
        <v>188</v>
      </c>
      <c r="D191" s="25">
        <v>46162</v>
      </c>
      <c r="E191" s="22">
        <v>3237</v>
      </c>
      <c r="F191" s="20" t="s">
        <v>95</v>
      </c>
    </row>
    <row r="192" spans="1:6" x14ac:dyDescent="0.3">
      <c r="A192" s="20" t="s">
        <v>101</v>
      </c>
      <c r="B192" s="20" t="s">
        <v>102</v>
      </c>
      <c r="C192" s="20" t="s">
        <v>188</v>
      </c>
      <c r="D192" s="25">
        <v>46162</v>
      </c>
      <c r="E192" s="22">
        <v>1478</v>
      </c>
      <c r="F192" s="20" t="s">
        <v>95</v>
      </c>
    </row>
    <row r="193" spans="1:6" x14ac:dyDescent="0.3">
      <c r="A193" s="20" t="s">
        <v>101</v>
      </c>
      <c r="B193" s="20" t="s">
        <v>102</v>
      </c>
      <c r="C193" s="20" t="s">
        <v>188</v>
      </c>
      <c r="D193" s="25">
        <v>46162</v>
      </c>
      <c r="E193" s="22">
        <v>730</v>
      </c>
      <c r="F193" s="20" t="s">
        <v>95</v>
      </c>
    </row>
    <row r="194" spans="1:6" x14ac:dyDescent="0.3">
      <c r="A194" s="20" t="s">
        <v>101</v>
      </c>
      <c r="B194" s="20" t="s">
        <v>102</v>
      </c>
      <c r="C194" s="20" t="s">
        <v>188</v>
      </c>
      <c r="D194" s="25">
        <v>46162</v>
      </c>
      <c r="E194" s="22">
        <v>1704</v>
      </c>
      <c r="F194" s="20" t="s">
        <v>95</v>
      </c>
    </row>
    <row r="195" spans="1:6" x14ac:dyDescent="0.3">
      <c r="A195" s="20" t="s">
        <v>101</v>
      </c>
      <c r="B195" s="20" t="s">
        <v>102</v>
      </c>
      <c r="C195" s="20" t="s">
        <v>188</v>
      </c>
      <c r="D195" s="25">
        <v>46162</v>
      </c>
      <c r="E195" s="22">
        <v>878</v>
      </c>
      <c r="F195" s="20" t="s">
        <v>95</v>
      </c>
    </row>
    <row r="196" spans="1:6" x14ac:dyDescent="0.3">
      <c r="A196" s="20" t="s">
        <v>101</v>
      </c>
      <c r="B196" s="20" t="s">
        <v>102</v>
      </c>
      <c r="C196" s="20" t="s">
        <v>188</v>
      </c>
      <c r="D196" s="25">
        <v>46162</v>
      </c>
      <c r="E196" s="22">
        <v>1108</v>
      </c>
      <c r="F196" s="20" t="s">
        <v>95</v>
      </c>
    </row>
    <row r="197" spans="1:6" x14ac:dyDescent="0.3">
      <c r="A197" s="20" t="s">
        <v>101</v>
      </c>
      <c r="B197" s="20" t="s">
        <v>102</v>
      </c>
      <c r="C197" s="20" t="s">
        <v>188</v>
      </c>
      <c r="D197" s="25">
        <v>46169</v>
      </c>
      <c r="E197" s="22">
        <v>1154</v>
      </c>
      <c r="F197" s="20" t="s">
        <v>95</v>
      </c>
    </row>
    <row r="198" spans="1:6" x14ac:dyDescent="0.3">
      <c r="A198" s="20" t="s">
        <v>101</v>
      </c>
      <c r="B198" s="20" t="s">
        <v>102</v>
      </c>
      <c r="C198" s="20" t="s">
        <v>188</v>
      </c>
      <c r="D198" s="25">
        <v>46170</v>
      </c>
      <c r="E198" s="22">
        <v>5</v>
      </c>
      <c r="F198" s="20" t="s">
        <v>95</v>
      </c>
    </row>
    <row r="199" spans="1:6" x14ac:dyDescent="0.3">
      <c r="A199" s="20" t="s">
        <v>101</v>
      </c>
      <c r="B199" s="20" t="s">
        <v>102</v>
      </c>
      <c r="C199" s="20" t="s">
        <v>188</v>
      </c>
      <c r="D199" s="25">
        <v>46170</v>
      </c>
      <c r="E199" s="22">
        <v>687</v>
      </c>
      <c r="F199" s="20" t="s">
        <v>95</v>
      </c>
    </row>
    <row r="200" spans="1:6" x14ac:dyDescent="0.3">
      <c r="A200" s="20" t="s">
        <v>101</v>
      </c>
      <c r="B200" s="20" t="s">
        <v>102</v>
      </c>
      <c r="C200" s="20" t="s">
        <v>188</v>
      </c>
      <c r="D200" s="25">
        <v>46170</v>
      </c>
      <c r="E200" s="22">
        <v>1322</v>
      </c>
      <c r="F200" s="20" t="s">
        <v>95</v>
      </c>
    </row>
  </sheetData>
  <autoFilter ref="A1:G1" xr:uid="{00000000-0001-0000-0200-000000000000}">
    <sortState xmlns:xlrd2="http://schemas.microsoft.com/office/spreadsheetml/2017/richdata2" ref="A2:G35">
      <sortCondition ref="D1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Compras</vt:lpstr>
      <vt:lpstr>Ventas</vt:lpstr>
      <vt:lpstr>Dividendos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José Olavarría</cp:lastModifiedBy>
  <cp:revision>0</cp:revision>
  <dcterms:created xsi:type="dcterms:W3CDTF">2026-06-17T19:22:48Z</dcterms:created>
  <dcterms:modified xsi:type="dcterms:W3CDTF">2026-06-17T22:05:04Z</dcterms:modified>
  <dc:language>en-US</dc:language>
</cp:coreProperties>
</file>